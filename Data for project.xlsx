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vil\OneDrive\Documentos\A - Estudios\LSE_ASDS\Project\PM2.5\"/>
    </mc:Choice>
  </mc:AlternateContent>
  <xr:revisionPtr revIDLastSave="0" documentId="13_ncr:1_{09279729-C7ED-4FBB-9BF7-B16919DB2971}" xr6:coauthVersionLast="45" xr6:coauthVersionMax="45" xr10:uidLastSave="{00000000-0000-0000-0000-000000000000}"/>
  <bookViews>
    <workbookView xWindow="-110" yWindow="-110" windowWidth="19420" windowHeight="10420" activeTab="3" xr2:uid="{772765E8-C3C4-40E4-858A-DFFB1BBDE1D8}"/>
  </bookViews>
  <sheets>
    <sheet name="That I have" sheetId="1" r:id="rId1"/>
    <sheet name="To search" sheetId="2" r:id="rId2"/>
    <sheet name="LEZ application" sheetId="3" r:id="rId3"/>
    <sheet name="Extra data LEZ" sheetId="4" r:id="rId4"/>
  </sheets>
  <definedNames>
    <definedName name="_xlnm._FilterDatabase" localSheetId="0" hidden="1">'That I have'!$A$1:$L$97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0" i="4" l="1"/>
  <c r="O5" i="4"/>
  <c r="O6" i="4"/>
  <c r="O7" i="4"/>
  <c r="O8" i="4"/>
  <c r="O9" i="4"/>
  <c r="O10" i="4"/>
  <c r="O11" i="4"/>
  <c r="O12" i="4"/>
  <c r="O13" i="4"/>
  <c r="O14" i="4"/>
  <c r="O15" i="4"/>
  <c r="O16" i="4"/>
  <c r="O19" i="4"/>
  <c r="O21" i="4"/>
  <c r="O22" i="4"/>
  <c r="O23" i="4"/>
  <c r="O24" i="4"/>
  <c r="O25" i="4"/>
  <c r="O27" i="4"/>
  <c r="O28" i="4"/>
  <c r="O4" i="4"/>
</calcChain>
</file>

<file path=xl/sharedStrings.xml><?xml version="1.0" encoding="utf-8"?>
<sst xmlns="http://schemas.openxmlformats.org/spreadsheetml/2006/main" count="1380" uniqueCount="576">
  <si>
    <t>Variable</t>
  </si>
  <si>
    <t>Coverage</t>
  </si>
  <si>
    <t>Geography</t>
  </si>
  <si>
    <t>Start</t>
  </si>
  <si>
    <t>End</t>
  </si>
  <si>
    <t>Delta</t>
  </si>
  <si>
    <t>Source</t>
  </si>
  <si>
    <t>Link</t>
  </si>
  <si>
    <t>UK</t>
  </si>
  <si>
    <t>1 year</t>
  </si>
  <si>
    <t>ONS</t>
  </si>
  <si>
    <t>GVA/industry</t>
  </si>
  <si>
    <t>https://www.ons.gov.uk/economy/grossvalueaddedgva/datasets/nominalandrealregionalgrossvalueaddedbalancedbyindustry</t>
  </si>
  <si>
    <t>Productivity</t>
  </si>
  <si>
    <t>Cities</t>
  </si>
  <si>
    <t>https://www.ons.gov.uk/economy/economicoutputandproductivity/productivitymeasures/datasets/subregionalproductivitylabourproductivitygvaperhourworkedandgvaperfilledjobindicesbycityregion</t>
  </si>
  <si>
    <t>Business Demographics and Survival Rates</t>
  </si>
  <si>
    <t>London</t>
  </si>
  <si>
    <t>Borough</t>
  </si>
  <si>
    <t>https://data.london.gov.uk/dataset/business-demographics-and-survival-rates-borough</t>
  </si>
  <si>
    <t xml:space="preserve">VAT enterprices by turover </t>
  </si>
  <si>
    <t>https://data.london.gov.uk/dataset/vat-enterprises-turnover-size-borough</t>
  </si>
  <si>
    <t>LEPs</t>
  </si>
  <si>
    <t>https://www.ons.gov.uk/employmentandlabourmarket/peopleinwork/labourproductivity/datasets/subregionalproductivitylabourproductivitygvaperhourworkedandgvaperfilledjobindicesbylocalenterprisepartnership</t>
  </si>
  <si>
    <t>Real labour productivity</t>
  </si>
  <si>
    <t>Household income</t>
  </si>
  <si>
    <t>MSOA</t>
  </si>
  <si>
    <t>2 years</t>
  </si>
  <si>
    <t>https://www.ons.gov.uk/employmentandlabourmarket/peopleinwork/earningsandworkinghours/datasets/smallareaincomeestimatesformiddlelayersuperoutputareasenglandandwales</t>
  </si>
  <si>
    <t>Electricity and Gas consumption</t>
  </si>
  <si>
    <t>LSOA</t>
  </si>
  <si>
    <t>https://data.gov.uk/dataset/ed629618-7b69-465d-8e0a-0546b1809fc7/lower-super-output-area-lsoa-middle-super-output-area-msoa-and-intermediate-geography-zone-igz-electricity-and-gas-estimates</t>
  </si>
  <si>
    <t>LSOA atlas</t>
  </si>
  <si>
    <t>Confusing…</t>
  </si>
  <si>
    <t>https://data.gov.uk/dataset/ffd9f142-6b70-412e-ab30-6442ff37f685/lsoa-atlas</t>
  </si>
  <si>
    <t>Agricurlure stats</t>
  </si>
  <si>
    <t>NUTS 3</t>
  </si>
  <si>
    <t>EU</t>
  </si>
  <si>
    <t>Eurostat</t>
  </si>
  <si>
    <t>https://ec.europa.eu/eurostat/web/rural-development/data</t>
  </si>
  <si>
    <t>Demographic stats</t>
  </si>
  <si>
    <t>Live births</t>
  </si>
  <si>
    <t>Deaths (total)</t>
  </si>
  <si>
    <t>Live births / age mother</t>
  </si>
  <si>
    <t>Fertility rate</t>
  </si>
  <si>
    <t>Population change</t>
  </si>
  <si>
    <t>Deaths / age, sex</t>
  </si>
  <si>
    <t>Population / age, sex</t>
  </si>
  <si>
    <t>5 year</t>
  </si>
  <si>
    <t>Economic Accounts</t>
  </si>
  <si>
    <t>Employment ('000 persons) by NACE</t>
  </si>
  <si>
    <t>Gross domestic product (GDP), multiple stats</t>
  </si>
  <si>
    <t>Gross value added at basic prices / NACE activites</t>
  </si>
  <si>
    <t>Business Demography</t>
  </si>
  <si>
    <t>Transport Statistics</t>
  </si>
  <si>
    <t>Science and Tech statistics</t>
  </si>
  <si>
    <t>ipr_tr_reg : The product has been discontinued since: 10 Apr 2019.</t>
  </si>
  <si>
    <t>Age dependency ratio</t>
  </si>
  <si>
    <t>https://urban.jrc.ec.europa.eu/#/en/download</t>
  </si>
  <si>
    <t>Age dependency ratio by age class</t>
  </si>
  <si>
    <t>Young age dependency ratio</t>
  </si>
  <si>
    <t>CO emissions</t>
  </si>
  <si>
    <t>CO2 Emissions</t>
  </si>
  <si>
    <t>Net migration</t>
  </si>
  <si>
    <t>Early leavers</t>
  </si>
  <si>
    <t>VOC emissions</t>
  </si>
  <si>
    <t>GVA at current prices (ARDECO)</t>
  </si>
  <si>
    <t>ARDECO</t>
  </si>
  <si>
    <t>Injured at road accidents</t>
  </si>
  <si>
    <t>Killed in Road accidens</t>
  </si>
  <si>
    <t>Land use (to see "urbanity")</t>
  </si>
  <si>
    <t>Length of bicycle network (dedicated cycle paths and lanes)</t>
  </si>
  <si>
    <t>Median population age/sex</t>
  </si>
  <si>
    <t>NH3 Emissions</t>
  </si>
  <si>
    <t>NOx Emissions</t>
  </si>
  <si>
    <t>Network efficiency</t>
  </si>
  <si>
    <t>PM10 Emissions</t>
  </si>
  <si>
    <t>PM2.5 Emissions</t>
  </si>
  <si>
    <t>Passenger Cars</t>
  </si>
  <si>
    <t>Population Density</t>
  </si>
  <si>
    <t>SO2 emissions</t>
  </si>
  <si>
    <t>Total Employment</t>
  </si>
  <si>
    <t>Total GDP at current prices</t>
  </si>
  <si>
    <t>Degree of urbanization</t>
  </si>
  <si>
    <t>Countries</t>
  </si>
  <si>
    <t>Transport Performance</t>
  </si>
  <si>
    <t>jrc</t>
  </si>
  <si>
    <t>Unemployment rate (incomplete)</t>
  </si>
  <si>
    <t>Utility vehicles</t>
  </si>
  <si>
    <t>NUTS 2</t>
  </si>
  <si>
    <t>PhD</t>
  </si>
  <si>
    <t>Capstone</t>
  </si>
  <si>
    <t>NUTS 6 (city)</t>
  </si>
  <si>
    <t xml:space="preserve">NUTS 5 </t>
  </si>
  <si>
    <t>Cars/1000 persons (imperfect)</t>
  </si>
  <si>
    <t>Share of transport means to work (imperfect)</t>
  </si>
  <si>
    <t>Order</t>
  </si>
  <si>
    <t>Eurostat, AMECO, OECD</t>
  </si>
  <si>
    <t>https://www.eui.eu/Research/Library/ResearchGuides/Economics/Statistics/DataPortal/ERD</t>
  </si>
  <si>
    <t>US</t>
  </si>
  <si>
    <t xml:space="preserve">Number of establishments </t>
  </si>
  <si>
    <t>ZIP code</t>
  </si>
  <si>
    <t>Number of employees</t>
  </si>
  <si>
    <t>First quarter payroll</t>
  </si>
  <si>
    <t>Annual payroll</t>
  </si>
  <si>
    <t>NAICS code (industry)</t>
  </si>
  <si>
    <t>Employment size of establishment</t>
  </si>
  <si>
    <t>US Census</t>
  </si>
  <si>
    <t>PM2.5 mean concentration</t>
  </si>
  <si>
    <t>0.01° × 0.01°</t>
  </si>
  <si>
    <t>van Donkelaar et al. (2016)</t>
  </si>
  <si>
    <t>http://fizz.phys.dal.ca/~atmos/martin/?page_id=140</t>
  </si>
  <si>
    <t>c</t>
  </si>
  <si>
    <t>PM2.5  concentration</t>
  </si>
  <si>
    <t>Global</t>
  </si>
  <si>
    <t>dialy</t>
  </si>
  <si>
    <t>NASA's MERRA2</t>
  </si>
  <si>
    <t>10km2</t>
  </si>
  <si>
    <t>CAMS</t>
  </si>
  <si>
    <t>0.50º × 0.60º</t>
  </si>
  <si>
    <t>https://www.ncei.noaa.gov/support/access-data-service-api-user-documentation</t>
  </si>
  <si>
    <t>NOAA</t>
  </si>
  <si>
    <t>link table 1</t>
  </si>
  <si>
    <t>link table 2</t>
  </si>
  <si>
    <t>Wind strength and direction</t>
  </si>
  <si>
    <t>b</t>
  </si>
  <si>
    <t>d</t>
  </si>
  <si>
    <t>Thermal Inversions</t>
  </si>
  <si>
    <t>Order capstone</t>
  </si>
  <si>
    <t>Pollution statistics</t>
  </si>
  <si>
    <t>Community designs (CD)</t>
  </si>
  <si>
    <t>Registered Community designs (RCD)</t>
  </si>
  <si>
    <t>European Union trade mark (EUTM) applications</t>
  </si>
  <si>
    <t>European Union trade mark (EUTM) registrations</t>
  </si>
  <si>
    <t>High-tech patent applications to the EPO by priority year</t>
  </si>
  <si>
    <t>Patent applications to the EPO by priority year</t>
  </si>
  <si>
    <t>Area (m3)</t>
  </si>
  <si>
    <t>Employer business demography by NACE Rev. 2</t>
  </si>
  <si>
    <t>Employer business demography by size class</t>
  </si>
  <si>
    <t>Business demography and high growth enterprise by NACE Rev. 2</t>
  </si>
  <si>
    <t>Business demography by size class</t>
  </si>
  <si>
    <t>Community design (CD) applications</t>
  </si>
  <si>
    <t>Biotechnology patent applications to the EPO by priority</t>
  </si>
  <si>
    <t>ICT patent applications to the EPO by priority</t>
  </si>
  <si>
    <t>Patent applications to the EPO by priority, IPC, sections and classes</t>
  </si>
  <si>
    <t>(Various contaminants) mean concentration</t>
  </si>
  <si>
    <t>NUTS 4 (LAU 1)</t>
  </si>
  <si>
    <t>NUTS 4 (LAU 1) (LAU 1)</t>
  </si>
  <si>
    <t>Shape Files</t>
  </si>
  <si>
    <t>https://ec.europa.eu/eurostat/web/nuts/local-administrative-units</t>
  </si>
  <si>
    <t>Population</t>
  </si>
  <si>
    <t>10 years</t>
  </si>
  <si>
    <t>https://ec.europa.eu/eurostat/web/nuts/local-administrative-units, https://ec.europa.eu/eurostat/web/gisco/geodata/reference-data/administrative-units-statistical-units/nuts</t>
  </si>
  <si>
    <t>NUTS and LAU 1</t>
  </si>
  <si>
    <t>All</t>
  </si>
  <si>
    <t>Boundaries of TMS zones</t>
  </si>
  <si>
    <t>georeferenced</t>
  </si>
  <si>
    <t>Most recent</t>
  </si>
  <si>
    <t>https://urbanaccessregulations.eu/</t>
  </si>
  <si>
    <t>urbanaccessregulations.eu</t>
  </si>
  <si>
    <t>"Green-Zones" App</t>
  </si>
  <si>
    <t>Greenzones app</t>
  </si>
  <si>
    <t>Germany</t>
  </si>
  <si>
    <t>"Umweltzone" App</t>
  </si>
  <si>
    <t>Official and legal documents</t>
  </si>
  <si>
    <t>Details on TMS's implementation</t>
  </si>
  <si>
    <t>\cite{GEHRSITZ2017121} and \cite{Wolf2014LEZ}</t>
  </si>
  <si>
    <t>``Described"</t>
  </si>
  <si>
    <t>NASA - M2I3NPASM</t>
  </si>
  <si>
    <t>Present</t>
  </si>
  <si>
    <t>https://www.ncdc.noaa.gov/data-access/land-based-station-data/land-based-datasets</t>
  </si>
  <si>
    <t>https://disc.gsfc.nasa.gov/datasets/M2I3NPASM_V5.12.4/summary</t>
  </si>
  <si>
    <t>www.wunderground.com</t>
  </si>
  <si>
    <t>wundergrowund.com</t>
  </si>
  <si>
    <t>Stations</t>
  </si>
  <si>
    <t>Variant</t>
  </si>
  <si>
    <t>Air pollutants concentration</t>
  </si>
  <si>
    <t>yearly</t>
  </si>
  <si>
    <t>EEA</t>
  </si>
  <si>
    <t>http://aidef.apps.eea.europa.eu/?source=%7B%22query%22%3A%7B%22match_all%22%3A%7B%7D%7D%2C%22display_type%22%3A%22tabular%22%7D</t>
  </si>
  <si>
    <t>https://www.eea.europa.eu/data-and-maps/data/aqereporting-8#tab-figures-produced</t>
  </si>
  <si>
    <t>https://sedac.ciesin.columbia.edu/data/set/grump-v1-urban-ext-polygons-rev01/data-download</t>
  </si>
  <si>
    <t xml:space="preserve">Extent of urban polygons </t>
  </si>
  <si>
    <t>GRUMP (NASA)</t>
  </si>
  <si>
    <t>Look if the effect is bigger in cities with more cheating cars --&gt; Data and understanding of cheating cars</t>
  </si>
  <si>
    <t>Asma attacks (hospitalizations and others as paper of cheating cars)</t>
  </si>
  <si>
    <t>Nº of people with a fiven respiratory condition per country (data from P.P.)</t>
  </si>
  <si>
    <t xml:space="preserve">Data about London on a map with geographic locations: </t>
  </si>
  <si>
    <t>https://maps.london.gov.uk/ima/</t>
  </si>
  <si>
    <t>London Atmospheric Emissions Inventory (LAEI) 2016 Air Quality Focus Areas</t>
  </si>
  <si>
    <t>GLA</t>
  </si>
  <si>
    <t>https://data.london.gov.uk/dataset/london-atmospheric-emissions-inventory--laei--2016-air-quality-focus-areas</t>
  </si>
  <si>
    <t>London Index of multiple depravation</t>
  </si>
  <si>
    <t>"village"</t>
  </si>
  <si>
    <t>https://maps.london.gov.uk/ima/#</t>
  </si>
  <si>
    <t>Rental Prices (2 bed 3 bed room and studio)</t>
  </si>
  <si>
    <t>Country</t>
  </si>
  <si>
    <t>City</t>
  </si>
  <si>
    <t>s_no_sticker</t>
  </si>
  <si>
    <t>s_red_no</t>
  </si>
  <si>
    <t>s_yellow_red_no</t>
  </si>
  <si>
    <t>GER</t>
  </si>
  <si>
    <t>Berlin</t>
  </si>
  <si>
    <t>Hannover</t>
  </si>
  <si>
    <t>Köln</t>
  </si>
  <si>
    <t>Dortmund</t>
  </si>
  <si>
    <t>(Brackeler Road)</t>
  </si>
  <si>
    <t>Ilsfeld</t>
  </si>
  <si>
    <t>Leonberg</t>
  </si>
  <si>
    <t>Ludwigsburg</t>
  </si>
  <si>
    <t>Mannheim</t>
  </si>
  <si>
    <t>Reutlingen</t>
  </si>
  <si>
    <t>Schwäbisch Gmünd</t>
  </si>
  <si>
    <t>Stuttgart</t>
  </si>
  <si>
    <t>Tübingen</t>
  </si>
  <si>
    <t>Pleidelsheim</t>
  </si>
  <si>
    <t>Bochum</t>
  </si>
  <si>
    <t>Bottrop</t>
  </si>
  <si>
    <t>Duisburg</t>
  </si>
  <si>
    <t>Essen</t>
  </si>
  <si>
    <t>Frankfurt am Main</t>
  </si>
  <si>
    <t>Gelsenkirchen</t>
  </si>
  <si>
    <t>Mülheim</t>
  </si>
  <si>
    <t>München</t>
  </si>
  <si>
    <t>Oberhausen</t>
  </si>
  <si>
    <t>Recklinghausen</t>
  </si>
  <si>
    <t>Bremen</t>
  </si>
  <si>
    <t>Heilbronn</t>
  </si>
  <si>
    <t>Herrenberg</t>
  </si>
  <si>
    <t>Karlsruhe</t>
  </si>
  <si>
    <t>Mühlacker</t>
  </si>
  <si>
    <t>Pforzheim</t>
  </si>
  <si>
    <t>Ulm</t>
  </si>
  <si>
    <t>Düsseldorf</t>
  </si>
  <si>
    <t>Wuppertal</t>
  </si>
  <si>
    <t>Augsburg</t>
  </si>
  <si>
    <t>Neu-Ulm</t>
  </si>
  <si>
    <t>Bonn</t>
  </si>
  <si>
    <t>Freiburg</t>
  </si>
  <si>
    <t>Heidelberg</t>
  </si>
  <si>
    <t>Münster</t>
  </si>
  <si>
    <t>Osnabrück</t>
  </si>
  <si>
    <t>Pfinztal</t>
  </si>
  <si>
    <t>Dresden</t>
  </si>
  <si>
    <t>Leipzig</t>
  </si>
  <si>
    <t>Citar:</t>
  </si>
  <si>
    <t>Wolf 2014 por los datos de alemania</t>
  </si>
  <si>
    <t>End (of data)</t>
  </si>
  <si>
    <t>Boundaries of TMS zones and details on their implementation</t>
  </si>
  <si>
    <t>openstreetmap.org</t>
  </si>
  <si>
    <t>https://wiki.openstreetmap.org/wiki/Tag:boundary=low%20emission%20zone?uselang=es</t>
  </si>
  <si>
    <t>To complete:</t>
  </si>
  <si>
    <t>Vehicle statistics (very detailed on model and fuel for all UK and only totals for local authority)</t>
  </si>
  <si>
    <t>https://www.gov.uk/government/collections/vehicles-statistics</t>
  </si>
  <si>
    <t>14958609</t>
  </si>
  <si>
    <t>5758400</t>
  </si>
  <si>
    <t>5074.16</t>
  </si>
  <si>
    <t>965.3</t>
  </si>
  <si>
    <t>54</t>
  </si>
  <si>
    <t>46</t>
  </si>
  <si>
    <t>55</t>
  </si>
  <si>
    <t>53</t>
  </si>
  <si>
    <t>Total (overall)&lt;a href="http://www.plosone.org/article/info:doi/10.1371/journal.pone.0102999#nt104" target="_blank"&gt;c&lt;/a&gt;</t>
  </si>
  <si>
    <t>3942084</t>
  </si>
  <si>
    <t>1391000</t>
  </si>
  <si>
    <t>1102.19</t>
  </si>
  <si>
    <t>172</t>
  </si>
  <si>
    <t>9</t>
  </si>
  <si>
    <t>8</t>
  </si>
  <si>
    <t>10</t>
  </si>
  <si>
    <t>15</t>
  </si>
  <si>
    <t>Total (diffuse)&lt;a href="http://www.plosone.org/article/info:doi/10.1371/journal.pone.0102999#nt103" target="_blank"&gt;b&lt;/a&gt;</t>
  </si>
  <si>
    <t>566862</t>
  </si>
  <si>
    <t>ca.291000</t>
  </si>
  <si>
    <t>210.34</t>
  </si>
  <si>
    <t>84</t>
  </si>
  <si>
    <t>-</t>
  </si>
  <si>
    <t>1</t>
  </si>
  <si>
    <t>7</t>
  </si>
  <si>
    <t>01Oct 2008</t>
  </si>
  <si>
    <t>2006</t>
  </si>
  <si>
    <t>North Rhine-Westphalia&lt;a href="http://www.plosone.org/article/info:doi/10.1371/journal.pone.0102999#nt103" target="_blank"&gt;b&lt;/a&gt;</t>
  </si>
  <si>
    <t>3375222</t>
  </si>
  <si>
    <t>1100000</t>
  </si>
  <si>
    <t>891.85</t>
  </si>
  <si>
    <t>88</t>
  </si>
  <si>
    <t>01Jan2008</t>
  </si>
  <si>
    <t>2004</t>
  </si>
  <si>
    <t>Berlin “RUBIS”&lt;a href="http://www.plosone.org/article/info:doi/10.1371/journal.pone.0102999#nt103" target="_blank"&gt;b&lt;/a&gt;</t>
  </si>
  <si>
    <t>11016525</t>
  </si>
  <si>
    <t>4367400</t>
  </si>
  <si>
    <t>3971.97</t>
  </si>
  <si>
    <t>793.3</t>
  </si>
  <si>
    <t>45</t>
  </si>
  <si>
    <t>38</t>
  </si>
  <si>
    <t>Total (contin) &lt;a href="http://www.plosone.org/article/info:doi/10.1371/journal.pone.0102999#nt102" target="_blank"&gt;a&lt;/a&gt;</t>
  </si>
  <si>
    <t>3585705</t>
  </si>
  <si>
    <t>1186000</t>
  </si>
  <si>
    <t>1514.85</t>
  </si>
  <si>
    <t>218.2</t>
  </si>
  <si>
    <t>16</t>
  </si>
  <si>
    <t>11</t>
  </si>
  <si>
    <t>Total North Rhine-W&lt;a href="http://www.plosone.org/article/info:doi/10.1371/journal.pone.0102999#nt102" target="_blank"&gt;a&lt;/a&gt;</t>
  </si>
  <si>
    <t>342885</t>
  </si>
  <si>
    <t>194000</t>
  </si>
  <si>
    <t>168.39</t>
  </si>
  <si>
    <t>35.3</t>
  </si>
  <si>
    <t>2&lt;a href="http://www.plosone.org/article/info:doi/10.1371/journal.pone.0102999#nt105" target="_blank"&gt;d&lt;/a&gt;</t>
  </si>
  <si>
    <t>01Feb2009</t>
  </si>
  <si>
    <t>1023373</t>
  </si>
  <si>
    <t>130000</t>
  </si>
  <si>
    <t>405.17</t>
  </si>
  <si>
    <t>4</t>
  </si>
  <si>
    <t>2</t>
  </si>
  <si>
    <t>Cologne</t>
  </si>
  <si>
    <t>ca. 291000</t>
  </si>
  <si>
    <t>3</t>
  </si>
  <si>
    <t>01Oct2008</t>
  </si>
  <si>
    <t>593682</t>
  </si>
  <si>
    <t>36500</t>
  </si>
  <si>
    <t>217.41</t>
  </si>
  <si>
    <t>13.8</t>
  </si>
  <si>
    <t>15Feb2009</t>
  </si>
  <si>
    <t>486816</t>
  </si>
  <si>
    <t>ca. 376500</t>
  </si>
  <si>
    <t>232.83</t>
  </si>
  <si>
    <t>ca. 50</t>
  </si>
  <si>
    <t>572087</t>
  </si>
  <si>
    <t>ca. 158000</t>
  </si>
  <si>
    <t>280.71</t>
  </si>
  <si>
    <t>19.1</t>
  </si>
  <si>
    <t>4&lt;a href="http://www.plosone.org/article/info:doi/10.1371/journal.pone.0102999#nt105" target="_blank"&gt;d&lt;/a&gt;</t>
  </si>
  <si>
    <t>North Rhine-Westphalia&lt;a href="http://www.plosone.org/article/info:doi/10.1371/journal.pone.0102999#nt102" target="_blank"&gt;a&lt;/a&gt;</t>
  </si>
  <si>
    <t>514137</t>
  </si>
  <si>
    <t>218000</t>
  </si>
  <si>
    <t>204.14</t>
  </si>
  <si>
    <t>50</t>
  </si>
  <si>
    <t>2005</t>
  </si>
  <si>
    <t>Lower Saxony&lt;a href="http://www.plosone.org/article/info:doi/10.1371/journal.pone.0102999#nt102" target="_blank"&gt;a&lt;/a&gt;</t>
  </si>
  <si>
    <t>687775</t>
  </si>
  <si>
    <t>550000</t>
  </si>
  <si>
    <t>248.31</t>
  </si>
  <si>
    <t>110</t>
  </si>
  <si>
    <t>2003</t>
  </si>
  <si>
    <t>Frankfurt a.M.</t>
  </si>
  <si>
    <t>Hesse&lt;a href="http://www.plosone.org/article/info:doi/10.1371/journal.pone.0102999#nt102" target="_blank"&gt;a&lt;/a&gt;</t>
  </si>
  <si>
    <t>5</t>
  </si>
  <si>
    <t>Berlin “BLUME”&lt;a href="http://www.plosone.org/article/info:doi/10.1371/journal.pone.0102999#nt102" target="_blank"&gt;a&lt;/a&gt;</t>
  </si>
  <si>
    <t>1661007</t>
  </si>
  <si>
    <t>471000</t>
  </si>
  <si>
    <t>457.64</t>
  </si>
  <si>
    <t>49.2</t>
  </si>
  <si>
    <t>Total Bavaria&lt;a href="http://www.plosone.org/article/info:doi/10.1371/journal.pone.0102999#nt102" target="_blank"&gt;a&lt;/a&gt;</t>
  </si>
  <si>
    <t>1388308</t>
  </si>
  <si>
    <t>431000</t>
  </si>
  <si>
    <t>310.71</t>
  </si>
  <si>
    <t>44</t>
  </si>
  <si>
    <t>Munich</t>
  </si>
  <si>
    <t>272699</t>
  </si>
  <si>
    <t>40000</t>
  </si>
  <si>
    <t>146.93</t>
  </si>
  <si>
    <t>5.2</t>
  </si>
  <si>
    <t>01Jul2009</t>
  </si>
  <si>
    <t>2007</t>
  </si>
  <si>
    <t>Bavaria&lt;a href="http://www.plosone.org/article/info:doi/10.1371/journal.pone.0102999#nt102" target="_blank"&gt;a&lt;/a&gt;</t>
  </si>
  <si>
    <t>1192679</t>
  </si>
  <si>
    <t>842400</t>
  </si>
  <si>
    <t>655.18</t>
  </si>
  <si>
    <t>277.9</t>
  </si>
  <si>
    <t>12</t>
  </si>
  <si>
    <t>Total Baden-W&lt;a href="http://www.plosone.org/article/info:doi/10.1371/journal.pone.0102999#nt102" target="_blank"&gt;a&lt;/a&gt;</t>
  </si>
  <si>
    <t>83248</t>
  </si>
  <si>
    <t>64000</t>
  </si>
  <si>
    <t>108.12</t>
  </si>
  <si>
    <t>11.9</t>
  </si>
  <si>
    <t>1&lt;a href="http://www.plosone.org/article/info:doi/10.1371/journal.pone.0102999#nt105" target="_blank"&gt;d&lt;/a&gt;</t>
  </si>
  <si>
    <t>01Mar2008</t>
  </si>
  <si>
    <t>591015</t>
  </si>
  <si>
    <t>590000</t>
  </si>
  <si>
    <t>207</t>
  </si>
  <si>
    <t>110084</t>
  </si>
  <si>
    <t>24500</t>
  </si>
  <si>
    <t>87.06</t>
  </si>
  <si>
    <t>4.5</t>
  </si>
  <si>
    <t>291458</t>
  </si>
  <si>
    <t>93900</t>
  </si>
  <si>
    <t>144.96</t>
  </si>
  <si>
    <t>7.5</t>
  </si>
  <si>
    <t>86939</t>
  </si>
  <si>
    <t>55000</t>
  </si>
  <si>
    <t>43.33</t>
  </si>
  <si>
    <t>30</t>
  </si>
  <si>
    <t>29935</t>
  </si>
  <si>
    <t>15000</t>
  </si>
  <si>
    <t>64.71</t>
  </si>
  <si>
    <t>17</t>
  </si>
  <si>
    <t>01Jan2009</t>
  </si>
  <si>
    <t>Baden-Württemberg&lt;a href="http://www.plosone.org/article/info:doi/10.1371/journal.pone.0102999#nt102" target="_blank"&gt;a&lt;/a&gt;</t>
  </si>
  <si>
    <t>Reference</t>
  </si>
  <si>
    <t>Index</t>
  </si>
  <si>
    <t>Federal State</t>
  </si>
  <si>
    <t>Population City</t>
  </si>
  <si>
    <t>Population LEZ</t>
  </si>
  <si>
    <t>Area City/km2</t>
  </si>
  <si>
    <t>Area LEZ/km2</t>
  </si>
  <si>
    <t>NO&lt;sub&gt;x&lt;/sub&gt;</t>
  </si>
  <si>
    <t>NO</t>
  </si>
  <si>
    <t>NO&lt;sub&gt;2&lt;/sub&gt;</t>
  </si>
  <si>
    <t>Introduction of LEZ</t>
  </si>
  <si>
    <t>Data Since</t>
  </si>
  <si>
    <t>Measurement Stations Suitable For Analysis</t>
  </si>
  <si>
    <t>LEZ</t>
  </si>
  <si>
    <t xml:space="preserve">SOURCE: </t>
  </si>
  <si>
    <t>https://figshare.com/articles/_Overview_of_low_emission_zones_LEZs_in_German_cities_included_for_analysis_17_LEZs_in_6_federal_states_/1136302/1</t>
  </si>
  <si>
    <t>http://hub.arcgis.com/datasets/esri-de-6::umweltzone</t>
  </si>
  <si>
    <t>http://hub.arcgis.com/datasets/esri-de-content::umweltzone-berlin</t>
  </si>
  <si>
    <t>https://opendata.ruhr/dataset/umweltzone-stadt-bochum</t>
  </si>
  <si>
    <t>Look at the "Luftreinhalteplan" in Germany</t>
  </si>
  <si>
    <t>http://opalpro.cs.upb.de/bg/dataset/umweltzonen_wuppertal_2</t>
  </si>
  <si>
    <t>https://gis.uba.de/maps470/resources/apps/uwz_dfv_lrp_0_0_2/index.html?lang=de</t>
  </si>
  <si>
    <t>NUTS3?</t>
  </si>
  <si>
    <t>Introduction</t>
  </si>
  <si>
    <t>Antwerp</t>
  </si>
  <si>
    <t>Brussels</t>
  </si>
  <si>
    <t>Seams so</t>
  </si>
  <si>
    <t>(Danmark)</t>
  </si>
  <si>
    <t>Helsinki</t>
  </si>
  <si>
    <t>?</t>
  </si>
  <si>
    <t>London LEZ</t>
  </si>
  <si>
    <t>NUTS1 almost perfect</t>
  </si>
  <si>
    <t>Greater Paris ZCR</t>
  </si>
  <si>
    <t>Paris ZFE (1,2,3)</t>
  </si>
  <si>
    <t>NIIICE</t>
  </si>
  <si>
    <t>Grenoble</t>
  </si>
  <si>
    <t>Lyon</t>
  </si>
  <si>
    <t>Broadly</t>
  </si>
  <si>
    <t>Strasbourg</t>
  </si>
  <si>
    <t>Ex. NUTS3</t>
  </si>
  <si>
    <t>Ruhr Area</t>
  </si>
  <si>
    <t>NUTS3</t>
  </si>
  <si>
    <t>Rotterdam</t>
  </si>
  <si>
    <t>Barcelona</t>
  </si>
  <si>
    <t>Useless?</t>
  </si>
  <si>
    <t>Madrid</t>
  </si>
  <si>
    <t>Toulouse</t>
  </si>
  <si>
    <t>Marselle</t>
  </si>
  <si>
    <t>Geneva</t>
  </si>
  <si>
    <t>Chaamberly</t>
  </si>
  <si>
    <t>Useless</t>
  </si>
  <si>
    <t>Budapest</t>
  </si>
  <si>
    <t>2008¿?</t>
  </si>
  <si>
    <t>Praga</t>
  </si>
  <si>
    <t>Atherns</t>
  </si>
  <si>
    <t>Type</t>
  </si>
  <si>
    <t>BRU</t>
  </si>
  <si>
    <t>FR</t>
  </si>
  <si>
    <t>NUTS</t>
  </si>
  <si>
    <t>ES</t>
  </si>
  <si>
    <t>Broadly NUTS3</t>
  </si>
  <si>
    <t>Broadly NUTS 3</t>
  </si>
  <si>
    <t>EXACTLY NUTS3</t>
  </si>
  <si>
    <t>Intro</t>
  </si>
  <si>
    <t>London (LCC)</t>
  </si>
  <si>
    <t>ZONE: Broadly NUTS3.</t>
  </si>
  <si>
    <t>"Effect": 2-5 direct. 3 NUTS 2 indirect</t>
  </si>
  <si>
    <t>Liverpool</t>
  </si>
  <si>
    <t>¿real?</t>
  </si>
  <si>
    <t>Durham</t>
  </si>
  <si>
    <t>V. Broadly</t>
  </si>
  <si>
    <t>France</t>
  </si>
  <si>
    <t>Paris</t>
  </si>
  <si>
    <t>(review exactly)</t>
  </si>
  <si>
    <t>Norway</t>
  </si>
  <si>
    <t>Bergen</t>
  </si>
  <si>
    <t>Oslo</t>
  </si>
  <si>
    <t>(4 others)</t>
  </si>
  <si>
    <t>Too little</t>
  </si>
  <si>
    <t>Sweden</t>
  </si>
  <si>
    <t>Estocolm</t>
  </si>
  <si>
    <t>NUTS2-3</t>
  </si>
  <si>
    <t>Gotenburg</t>
  </si>
  <si>
    <t>Italia</t>
  </si>
  <si>
    <t>Milan</t>
  </si>
  <si>
    <t>Only center NUTS3</t>
  </si>
  <si>
    <t>Palermo</t>
  </si>
  <si>
    <t>Roma</t>
  </si>
  <si>
    <t>Florence</t>
  </si>
  <si>
    <t>Pisa</t>
  </si>
  <si>
    <t>Too little?</t>
  </si>
  <si>
    <t>España</t>
  </si>
  <si>
    <t>URT-CCZ</t>
  </si>
  <si>
    <t>(2 bueno en pc) (3 poco util) (APP!)</t>
  </si>
  <si>
    <t>Sitio especializado</t>
  </si>
  <si>
    <t>Sitio bueno para pc</t>
  </si>
  <si>
    <t>Sitio poco útil</t>
  </si>
  <si>
    <t>App!</t>
  </si>
  <si>
    <t>Wikipedia</t>
  </si>
  <si>
    <t>Urban RS, Congestion Charge Zone</t>
  </si>
  <si>
    <t>https://www.lez-france.fr/en/</t>
  </si>
  <si>
    <t>FR PL NL LT NO lacking data</t>
  </si>
  <si>
    <t>FR PL NL LT RS NO AL ME lacking data</t>
  </si>
  <si>
    <t>Some from 2004</t>
  </si>
  <si>
    <t>All data correct (buth without age of mother? Review)</t>
  </si>
  <si>
    <t>True, only until 2012</t>
  </si>
  <si>
    <t>2014-2019 in demo_r_pjanind3</t>
  </si>
  <si>
    <t>Trafic data (counts)</t>
  </si>
  <si>
    <t>https://roadtraffic.dft.gov.uk/</t>
  </si>
  <si>
    <t>Govenment</t>
  </si>
  <si>
    <t>Maybe a new source of general info:</t>
  </si>
  <si>
    <t>https://apps.espon.eu/datanavigator/index.php/component/datanavigator?cond=theme%20Like%20%27%25Labour%20Market%25%27%20AND%20level%20Like%20%27%25NUTS3%25%27&amp;pag=1</t>
  </si>
  <si>
    <t>+ By city here: https://ec.europa.eu/eurostat/web/cities/data/database</t>
  </si>
  <si>
    <t>Share of journeys by car/publc transport/… (incomplete)</t>
  </si>
  <si>
    <t>https://appsso.eurostat.ec.europa.eu/nui/submitViewTableAction.do</t>
  </si>
  <si>
    <t>More info on cities/Functional Urban areas/</t>
  </si>
  <si>
    <t>https://ec.europa.eu/eurostat/web/cities/data/database</t>
  </si>
  <si>
    <t>http://www.epomm.eu/tems/result_cities.phtml?more=1</t>
  </si>
  <si>
    <t>Ciry</t>
  </si>
  <si>
    <t>EPOMM</t>
  </si>
  <si>
    <t>Any available</t>
  </si>
  <si>
    <t>Productivity per hour, worker*(age and educ) and Sectors</t>
  </si>
  <si>
    <t>"2000"</t>
  </si>
  <si>
    <t>EU KLEMS</t>
  </si>
  <si>
    <t>http://euklems.net/</t>
  </si>
  <si>
    <t>Europe</t>
  </si>
  <si>
    <t>Some cities</t>
  </si>
  <si>
    <t>Wolff (2003)</t>
  </si>
  <si>
    <t>PM10 sources (biblografic review)</t>
  </si>
  <si>
    <t>EU PM10 limits and germany violations of PM limits</t>
  </si>
  <si>
    <t>Nº of vehicles by emission category</t>
  </si>
  <si>
    <t xml:space="preserve">Germany </t>
  </si>
  <si>
    <t>2010 or more</t>
  </si>
  <si>
    <t>German Federal Motor Transport Authority (KraftfahrtsbundesamtFlensburg)</t>
  </si>
  <si>
    <t>All German LEZ with initial dates of each level</t>
  </si>
  <si>
    <t>umweltbundesamt</t>
  </si>
  <si>
    <t>http://gis.uba.de/website/umweltzonen/index.php</t>
  </si>
  <si>
    <t>All german Local Air quality plans by city and with links</t>
  </si>
  <si>
    <t>districts/cities</t>
  </si>
  <si>
    <t>Or https://appsso.eurostat.ec.europa.eu/nui/show.do?dataset=nama_10r_2emhrw&amp;lang=en</t>
  </si>
  <si>
    <t>1000s Hours Worked by NACE activity</t>
  </si>
  <si>
    <t>Metropolitan Regions</t>
  </si>
  <si>
    <t>Economically active population by sex and age</t>
  </si>
  <si>
    <t>Economically active population by sex, age and NUTS 2 regions (1 000)</t>
  </si>
  <si>
    <t>Compensation of employees by NACE activity</t>
  </si>
  <si>
    <t>German specific regional data (such as investment per worker and many others)</t>
  </si>
  <si>
    <t>Various</t>
  </si>
  <si>
    <t>https://www-genesis.destatis.de/gis/genView?GenMLURL=https://www-genesis.destatis.de/regatlas/AI010-1.xml&amp;CONTEXT=REGATLAS01</t>
  </si>
  <si>
    <t>destatis</t>
  </si>
  <si>
    <t>Deaths by age group, sex, week and NUTS 3 region</t>
  </si>
  <si>
    <t>NUTS2</t>
  </si>
  <si>
    <t>Gross fixed capital formation (investment) by NACE activities</t>
  </si>
  <si>
    <t xml:space="preserve"> </t>
  </si>
  <si>
    <t>Total and active population by sex, age, employment status, residence one year prior to the census</t>
  </si>
  <si>
    <t>https://appsso.eurostat.ec.europa.eu/nui/show.do?dataset=cens_01ramigr&amp;lang=en</t>
  </si>
  <si>
    <t>lfst_r_lfp2act</t>
  </si>
  <si>
    <t>nama_10r_2coe</t>
  </si>
  <si>
    <t>GDP per Small Sub retion (nuts3 equivalent)</t>
  </si>
  <si>
    <t>"NUTS3"</t>
  </si>
  <si>
    <t>OECD</t>
  </si>
  <si>
    <t>Regions and Cities &gt; Regional Statistics &gt; Regional Economy</t>
  </si>
  <si>
    <t>https://stats.oecd.org/#</t>
  </si>
  <si>
    <t>GVA per industry</t>
  </si>
  <si>
    <t>GDP (million USD)</t>
  </si>
  <si>
    <t>&gt; Metropolitan Areas &gt; Economy</t>
  </si>
  <si>
    <t>Others</t>
  </si>
  <si>
    <t>See more on notebook</t>
  </si>
  <si>
    <t>To add: Limits of cities (global)</t>
  </si>
  <si>
    <t>Extent of cities (global)</t>
  </si>
  <si>
    <t>https://sedac.ciesin.columbia.edu/data/set/ulandsat-hbase-v1/maps</t>
  </si>
  <si>
    <t>More german specific regional data</t>
  </si>
  <si>
    <t>https://www.regionalstatistik.de/genesis/online/data?operation=themes&amp;levelindex=0&amp;levelid=1590748560905&amp;code=71</t>
  </si>
  <si>
    <t>Registations, scrappage and statistics of German vehicle fleer</t>
  </si>
  <si>
    <t>Varies</t>
  </si>
  <si>
    <t>varies</t>
  </si>
  <si>
    <t>https://www.kba.de/SiteGlobals/Forms/Suche/Statistik/Fahrzeuge/Fahrzeuge_Formular.html?nn=772208&amp;cl2Categories_Berichtsjahr=2009&amp;cl2Categories_Unterthema=umwelt+zulassungsbezirke_und_gemeinden&amp;resultsPerPage=15&amp;sortOrder=dateOfIssue_dt+desc%2C+title_sort+desc&amp;cl2Categories_Darstellungsart=download</t>
  </si>
  <si>
    <t>KBA</t>
  </si>
  <si>
    <t>Proportion of pop in 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</si>
</sst>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/>
    <xf numFmtId="0" fontId="0" fillId="0" borderId="0" xfId="0" applyAlignment="1">
      <alignment horizontal="left" indent="1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17" fontId="0" fillId="0" borderId="0" xfId="0" applyNumberFormat="1"/>
    <xf numFmtId="0" fontId="6" fillId="0" borderId="0" xfId="0" applyFont="1"/>
    <xf numFmtId="0" fontId="0" fillId="0" borderId="0" xfId="2" applyNumberFormat="1" applyFont="1"/>
    <xf numFmtId="0" fontId="0" fillId="0" borderId="0" xfId="0" applyNumberFormat="1"/>
    <xf numFmtId="17" fontId="0" fillId="2" borderId="0" xfId="0" applyNumberFormat="1" applyFill="1"/>
    <xf numFmtId="0" fontId="0" fillId="2" borderId="0" xfId="0" applyFill="1"/>
    <xf numFmtId="0" fontId="0" fillId="0" borderId="0" xfId="0" applyFill="1"/>
    <xf numFmtId="17" fontId="0" fillId="0" borderId="0" xfId="0" applyNumberFormat="1" applyFill="1"/>
    <xf numFmtId="0" fontId="1" fillId="0" borderId="0" xfId="0" applyFont="1"/>
    <xf numFmtId="0" fontId="0" fillId="0" borderId="0" xfId="0" quotePrefix="1"/>
    <xf numFmtId="0" fontId="7" fillId="0" borderId="0" xfId="0" applyFont="1"/>
    <xf numFmtId="0" fontId="6" fillId="0" borderId="0" xfId="0" applyFont="1"/>
    <xf numFmtId="0" fontId="6" fillId="0" borderId="0" xfId="0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158750</xdr:colOff>
      <xdr:row>123</xdr:row>
      <xdr:rowOff>19050</xdr:rowOff>
    </xdr:from>
    <xdr:to>
      <xdr:col>16</xdr:col>
      <xdr:colOff>355856</xdr:colOff>
      <xdr:row>130</xdr:row>
      <xdr:rowOff>50868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03DCD-1428-4802-91EB-B910688B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6900" y="22301200"/>
          <a:ext cx="4978656" cy="1320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c.europa.eu/eurostat/web/rural-development/data" TargetMode="External"/><Relationship Id="rId21" Type="http://schemas.openxmlformats.org/officeDocument/2006/relationships/hyperlink" Target="https://ec.europa.eu/eurostat/web/rural-development/data" TargetMode="External"/><Relationship Id="rId42" Type="http://schemas.openxmlformats.org/officeDocument/2006/relationships/hyperlink" Target="https://urban.jrc.ec.europa.eu/" TargetMode="External"/><Relationship Id="rId47" Type="http://schemas.openxmlformats.org/officeDocument/2006/relationships/hyperlink" Target="https://urban.jrc.ec.europa.eu/" TargetMode="External"/><Relationship Id="rId63" Type="http://schemas.openxmlformats.org/officeDocument/2006/relationships/hyperlink" Target="https://urban.jrc.ec.europa.eu/" TargetMode="External"/><Relationship Id="rId68" Type="http://schemas.openxmlformats.org/officeDocument/2006/relationships/hyperlink" Target="http://fizz.phys.dal.ca/~atmos/martin/?page_id=140" TargetMode="External"/><Relationship Id="rId84" Type="http://schemas.openxmlformats.org/officeDocument/2006/relationships/hyperlink" Target="http://aidef.apps.eea.europa.eu/?source=%7B%22query%22%3A%7B%22match_all%22%3A%7B%7D%7D%2C%22display_type%22%3A%22tabular%22%7D" TargetMode="External"/><Relationship Id="rId89" Type="http://schemas.openxmlformats.org/officeDocument/2006/relationships/hyperlink" Target="https://maps.london.gov.uk/ima/" TargetMode="External"/><Relationship Id="rId16" Type="http://schemas.openxmlformats.org/officeDocument/2006/relationships/hyperlink" Target="https://ec.europa.eu/eurostat/web/rural-development/data" TargetMode="External"/><Relationship Id="rId107" Type="http://schemas.openxmlformats.org/officeDocument/2006/relationships/hyperlink" Target="https://www.regionalstatistik.de/genesis/online/data?operation=themes&amp;levelindex=0&amp;levelid=1590748560905&amp;code=71" TargetMode="External"/><Relationship Id="rId11" Type="http://schemas.openxmlformats.org/officeDocument/2006/relationships/hyperlink" Target="https://ec.europa.eu/eurostat/web/rural-development/data" TargetMode="External"/><Relationship Id="rId32" Type="http://schemas.openxmlformats.org/officeDocument/2006/relationships/hyperlink" Target="https://ec.europa.eu/eurostat/web/rural-development/data" TargetMode="External"/><Relationship Id="rId37" Type="http://schemas.openxmlformats.org/officeDocument/2006/relationships/hyperlink" Target="https://urban.jrc.ec.europa.eu/" TargetMode="External"/><Relationship Id="rId53" Type="http://schemas.openxmlformats.org/officeDocument/2006/relationships/hyperlink" Target="https://urban.jrc.ec.europa.eu/" TargetMode="External"/><Relationship Id="rId58" Type="http://schemas.openxmlformats.org/officeDocument/2006/relationships/hyperlink" Target="https://urban.jrc.ec.europa.eu/" TargetMode="External"/><Relationship Id="rId74" Type="http://schemas.openxmlformats.org/officeDocument/2006/relationships/hyperlink" Target="https://factfinder.census.gov/bkmk/table/1.0/en/BP/2014/00CZ2/0400000US06.86100F" TargetMode="External"/><Relationship Id="rId79" Type="http://schemas.openxmlformats.org/officeDocument/2006/relationships/hyperlink" Target="https://urbanaccessregulations.eu/" TargetMode="External"/><Relationship Id="rId102" Type="http://schemas.openxmlformats.org/officeDocument/2006/relationships/hyperlink" Target="https://stats.oecd.org/" TargetMode="External"/><Relationship Id="rId5" Type="http://schemas.openxmlformats.org/officeDocument/2006/relationships/hyperlink" Target="https://data.gov.uk/dataset/ed629618-7b69-465d-8e0a-0546b1809fc7/lower-super-output-area-lsoa-middle-super-output-area-msoa-and-intermediate-geography-zone-igz-electricity-and-gas-estimates" TargetMode="External"/><Relationship Id="rId90" Type="http://schemas.openxmlformats.org/officeDocument/2006/relationships/hyperlink" Target="https://wiki.openstreetmap.org/wiki/Tag:boundary=low%20emission%20zone?uselang=es" TargetMode="External"/><Relationship Id="rId95" Type="http://schemas.openxmlformats.org/officeDocument/2006/relationships/hyperlink" Target="http://euklems.net/" TargetMode="External"/><Relationship Id="rId22" Type="http://schemas.openxmlformats.org/officeDocument/2006/relationships/hyperlink" Target="https://ec.europa.eu/eurostat/web/rural-development/data" TargetMode="External"/><Relationship Id="rId27" Type="http://schemas.openxmlformats.org/officeDocument/2006/relationships/hyperlink" Target="https://ec.europa.eu/eurostat/web/rural-development/data" TargetMode="External"/><Relationship Id="rId43" Type="http://schemas.openxmlformats.org/officeDocument/2006/relationships/hyperlink" Target="https://urban.jrc.ec.europa.eu/" TargetMode="External"/><Relationship Id="rId48" Type="http://schemas.openxmlformats.org/officeDocument/2006/relationships/hyperlink" Target="https://urban.jrc.ec.europa.eu/" TargetMode="External"/><Relationship Id="rId64" Type="http://schemas.openxmlformats.org/officeDocument/2006/relationships/hyperlink" Target="https://urban.jrc.ec.europa.eu/" TargetMode="External"/><Relationship Id="rId69" Type="http://schemas.openxmlformats.org/officeDocument/2006/relationships/hyperlink" Target="http://fizz.phys.dal.ca/~atmos/martin/?page_id=140" TargetMode="External"/><Relationship Id="rId80" Type="http://schemas.openxmlformats.org/officeDocument/2006/relationships/hyperlink" Target="https://urbanaccessregulations.eu/" TargetMode="External"/><Relationship Id="rId85" Type="http://schemas.openxmlformats.org/officeDocument/2006/relationships/hyperlink" Target="https://www.eea.europa.eu/data-and-maps/data/aqereporting-8" TargetMode="External"/><Relationship Id="rId12" Type="http://schemas.openxmlformats.org/officeDocument/2006/relationships/hyperlink" Target="https://ec.europa.eu/eurostat/web/rural-development/data" TargetMode="External"/><Relationship Id="rId17" Type="http://schemas.openxmlformats.org/officeDocument/2006/relationships/hyperlink" Target="https://ec.europa.eu/eurostat/web/rural-development/data" TargetMode="External"/><Relationship Id="rId33" Type="http://schemas.openxmlformats.org/officeDocument/2006/relationships/hyperlink" Target="https://ec.europa.eu/eurostat/web/rural-development/data" TargetMode="External"/><Relationship Id="rId38" Type="http://schemas.openxmlformats.org/officeDocument/2006/relationships/hyperlink" Target="https://urban.jrc.ec.europa.eu/" TargetMode="External"/><Relationship Id="rId59" Type="http://schemas.openxmlformats.org/officeDocument/2006/relationships/hyperlink" Target="https://urban.jrc.ec.europa.eu/" TargetMode="External"/><Relationship Id="rId103" Type="http://schemas.openxmlformats.org/officeDocument/2006/relationships/hyperlink" Target="https://stats.oecd.org/" TargetMode="External"/><Relationship Id="rId108" Type="http://schemas.openxmlformats.org/officeDocument/2006/relationships/hyperlink" Target="https://www.kba.de/SiteGlobals/Forms/Suche/Statistik/Fahrzeuge/Fahrzeuge_Formular.html?nn=772208&amp;cl2Categories_Berichtsjahr=2009&amp;cl2Categories_Unterthema=umwelt+zulassungsbezirke_und_gemeinden&amp;resultsPerPage=15&amp;sortOrder=dateOfIssue_dt+desc%2C+title_sort+desc&amp;cl2Categories_Darstellungsart=download" TargetMode="External"/><Relationship Id="rId54" Type="http://schemas.openxmlformats.org/officeDocument/2006/relationships/hyperlink" Target="https://urban.jrc.ec.europa.eu/" TargetMode="External"/><Relationship Id="rId70" Type="http://schemas.openxmlformats.org/officeDocument/2006/relationships/hyperlink" Target="https://www.ncei.noaa.gov/support/access-data-service-api-user-documentation" TargetMode="External"/><Relationship Id="rId75" Type="http://schemas.openxmlformats.org/officeDocument/2006/relationships/hyperlink" Target="https://factfinder.census.gov/bkmk/table/1.0/en/BP/2014/00CZ2/0400000US06.86100F" TargetMode="External"/><Relationship Id="rId91" Type="http://schemas.openxmlformats.org/officeDocument/2006/relationships/hyperlink" Target="https://roadtraffic.dft.gov.uk/" TargetMode="External"/><Relationship Id="rId96" Type="http://schemas.openxmlformats.org/officeDocument/2006/relationships/hyperlink" Target="http://gis.uba.de/website/umweltzonen/index.php" TargetMode="External"/><Relationship Id="rId1" Type="http://schemas.openxmlformats.org/officeDocument/2006/relationships/hyperlink" Target="https://data.london.gov.uk/dataset/business-demographics-and-survival-rates-borough" TargetMode="External"/><Relationship Id="rId6" Type="http://schemas.openxmlformats.org/officeDocument/2006/relationships/hyperlink" Target="https://data.gov.uk/dataset/ffd9f142-6b70-412e-ab30-6442ff37f685/lsoa-atlas" TargetMode="External"/><Relationship Id="rId15" Type="http://schemas.openxmlformats.org/officeDocument/2006/relationships/hyperlink" Target="https://ec.europa.eu/eurostat/web/rural-development/data" TargetMode="External"/><Relationship Id="rId23" Type="http://schemas.openxmlformats.org/officeDocument/2006/relationships/hyperlink" Target="https://ec.europa.eu/eurostat/web/rural-development/data" TargetMode="External"/><Relationship Id="rId28" Type="http://schemas.openxmlformats.org/officeDocument/2006/relationships/hyperlink" Target="https://ec.europa.eu/eurostat/web/rural-development/data" TargetMode="External"/><Relationship Id="rId36" Type="http://schemas.openxmlformats.org/officeDocument/2006/relationships/hyperlink" Target="https://urban.jrc.ec.europa.eu/" TargetMode="External"/><Relationship Id="rId49" Type="http://schemas.openxmlformats.org/officeDocument/2006/relationships/hyperlink" Target="https://urban.jrc.ec.europa.eu/" TargetMode="External"/><Relationship Id="rId57" Type="http://schemas.openxmlformats.org/officeDocument/2006/relationships/hyperlink" Target="https://urban.jrc.ec.europa.eu/" TargetMode="External"/><Relationship Id="rId106" Type="http://schemas.openxmlformats.org/officeDocument/2006/relationships/hyperlink" Target="https://sedac.ciesin.columbia.edu/data/set/ulandsat-hbase-v1/maps" TargetMode="External"/><Relationship Id="rId10" Type="http://schemas.openxmlformats.org/officeDocument/2006/relationships/hyperlink" Target="https://ec.europa.eu/eurostat/web/rural-development/data" TargetMode="External"/><Relationship Id="rId31" Type="http://schemas.openxmlformats.org/officeDocument/2006/relationships/hyperlink" Target="https://ec.europa.eu/eurostat/web/rural-development/data" TargetMode="External"/><Relationship Id="rId44" Type="http://schemas.openxmlformats.org/officeDocument/2006/relationships/hyperlink" Target="https://urban.jrc.ec.europa.eu/" TargetMode="External"/><Relationship Id="rId52" Type="http://schemas.openxmlformats.org/officeDocument/2006/relationships/hyperlink" Target="https://urban.jrc.ec.europa.eu/" TargetMode="External"/><Relationship Id="rId60" Type="http://schemas.openxmlformats.org/officeDocument/2006/relationships/hyperlink" Target="https://urban.jrc.ec.europa.eu/" TargetMode="External"/><Relationship Id="rId65" Type="http://schemas.openxmlformats.org/officeDocument/2006/relationships/hyperlink" Target="https://urban.jrc.ec.europa.eu/" TargetMode="External"/><Relationship Id="rId73" Type="http://schemas.openxmlformats.org/officeDocument/2006/relationships/hyperlink" Target="https://factfinder.census.gov/bkmk/table/1.0/en/BP/2014/00CZ2/0400000US06.86100F" TargetMode="External"/><Relationship Id="rId78" Type="http://schemas.openxmlformats.org/officeDocument/2006/relationships/hyperlink" Target="https://ec.europa.eu/eurostat/web/nuts/local-administrative-units" TargetMode="External"/><Relationship Id="rId81" Type="http://schemas.openxmlformats.org/officeDocument/2006/relationships/hyperlink" Target="http://fizz.phys.dal.ca/~atmos/martin/?page_id=140" TargetMode="External"/><Relationship Id="rId86" Type="http://schemas.openxmlformats.org/officeDocument/2006/relationships/hyperlink" Target="https://sedac.ciesin.columbia.edu/data/set/grump-v1-urban-ext-polygons-rev01/data-download" TargetMode="External"/><Relationship Id="rId94" Type="http://schemas.openxmlformats.org/officeDocument/2006/relationships/hyperlink" Target="http://www.epomm.eu/tems/result_cities.phtml?more=1" TargetMode="External"/><Relationship Id="rId99" Type="http://schemas.openxmlformats.org/officeDocument/2006/relationships/hyperlink" Target="https://www-genesis.destatis.de/gis/genView?GenMLURL=https://www-genesis.destatis.de/regatlas/AI010-1.xml&amp;CONTEXT=REGATLAS01" TargetMode="External"/><Relationship Id="rId101" Type="http://schemas.openxmlformats.org/officeDocument/2006/relationships/hyperlink" Target="https://appsso.eurostat.ec.europa.eu/nui/show.do?dataset=cens_01ramigr&amp;lang=en" TargetMode="External"/><Relationship Id="rId4" Type="http://schemas.openxmlformats.org/officeDocument/2006/relationships/hyperlink" Target="https://www.ons.gov.uk/employmentandlabourmarket/peopleinwork/earningsandworkinghours/datasets/smallareaincomeestimatesformiddlelayersuperoutputareasenglandandwales" TargetMode="External"/><Relationship Id="rId9" Type="http://schemas.openxmlformats.org/officeDocument/2006/relationships/hyperlink" Target="https://ec.europa.eu/eurostat/web/rural-development/data" TargetMode="External"/><Relationship Id="rId13" Type="http://schemas.openxmlformats.org/officeDocument/2006/relationships/hyperlink" Target="https://ec.europa.eu/eurostat/web/rural-development/data" TargetMode="External"/><Relationship Id="rId18" Type="http://schemas.openxmlformats.org/officeDocument/2006/relationships/hyperlink" Target="https://ec.europa.eu/eurostat/web/rural-development/data" TargetMode="External"/><Relationship Id="rId39" Type="http://schemas.openxmlformats.org/officeDocument/2006/relationships/hyperlink" Target="https://urban.jrc.ec.europa.eu/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ec.europa.eu/eurostat/web/rural-development/data" TargetMode="External"/><Relationship Id="rId50" Type="http://schemas.openxmlformats.org/officeDocument/2006/relationships/hyperlink" Target="https://urban.jrc.ec.europa.eu/" TargetMode="External"/><Relationship Id="rId55" Type="http://schemas.openxmlformats.org/officeDocument/2006/relationships/hyperlink" Target="https://urban.jrc.ec.europa.eu/" TargetMode="External"/><Relationship Id="rId76" Type="http://schemas.openxmlformats.org/officeDocument/2006/relationships/hyperlink" Target="https://factfinder.census.gov/bkmk/table/1.0/en/BP/2014/00CZ2/0400000US06.86100F" TargetMode="External"/><Relationship Id="rId97" Type="http://schemas.openxmlformats.org/officeDocument/2006/relationships/hyperlink" Target="http://gis.uba.de/website/umweltzonen/index.php" TargetMode="External"/><Relationship Id="rId104" Type="http://schemas.openxmlformats.org/officeDocument/2006/relationships/hyperlink" Target="https://stats.oecd.org/" TargetMode="External"/><Relationship Id="rId7" Type="http://schemas.openxmlformats.org/officeDocument/2006/relationships/hyperlink" Target="https://ec.europa.eu/eurostat/web/rural-development/data" TargetMode="External"/><Relationship Id="rId71" Type="http://schemas.openxmlformats.org/officeDocument/2006/relationships/hyperlink" Target="https://factfinder.census.gov/bkmk/table/1.0/en/BP/2014/00CZ2/0400000US06.86100F" TargetMode="External"/><Relationship Id="rId92" Type="http://schemas.openxmlformats.org/officeDocument/2006/relationships/hyperlink" Target="https://roadtraffic.dft.gov.uk/" TargetMode="External"/><Relationship Id="rId2" Type="http://schemas.openxmlformats.org/officeDocument/2006/relationships/hyperlink" Target="https://data.london.gov.uk/dataset/vat-enterprises-turnover-size-borough" TargetMode="External"/><Relationship Id="rId29" Type="http://schemas.openxmlformats.org/officeDocument/2006/relationships/hyperlink" Target="https://ec.europa.eu/eurostat/web/rural-development/data" TargetMode="External"/><Relationship Id="rId24" Type="http://schemas.openxmlformats.org/officeDocument/2006/relationships/hyperlink" Target="https://ec.europa.eu/eurostat/web/rural-development/data" TargetMode="External"/><Relationship Id="rId40" Type="http://schemas.openxmlformats.org/officeDocument/2006/relationships/hyperlink" Target="https://urban.jrc.ec.europa.eu/" TargetMode="External"/><Relationship Id="rId45" Type="http://schemas.openxmlformats.org/officeDocument/2006/relationships/hyperlink" Target="https://urban.jrc.ec.europa.eu/" TargetMode="External"/><Relationship Id="rId66" Type="http://schemas.openxmlformats.org/officeDocument/2006/relationships/hyperlink" Target="https://urban.jrc.ec.europa.eu/" TargetMode="External"/><Relationship Id="rId87" Type="http://schemas.openxmlformats.org/officeDocument/2006/relationships/hyperlink" Target="https://data.london.gov.uk/dataset/london-atmospheric-emissions-inventory--laei--2016-air-quality-focus-areas" TargetMode="External"/><Relationship Id="rId110" Type="http://schemas.openxmlformats.org/officeDocument/2006/relationships/drawing" Target="../drawings/drawing1.xml"/><Relationship Id="rId61" Type="http://schemas.openxmlformats.org/officeDocument/2006/relationships/hyperlink" Target="https://urban.jrc.ec.europa.eu/" TargetMode="External"/><Relationship Id="rId82" Type="http://schemas.openxmlformats.org/officeDocument/2006/relationships/hyperlink" Target="https://www.ncdc.noaa.gov/data-access/land-based-station-data/land-based-datasets" TargetMode="External"/><Relationship Id="rId19" Type="http://schemas.openxmlformats.org/officeDocument/2006/relationships/hyperlink" Target="https://ec.europa.eu/eurostat/web/rural-development/data" TargetMode="External"/><Relationship Id="rId14" Type="http://schemas.openxmlformats.org/officeDocument/2006/relationships/hyperlink" Target="https://ec.europa.eu/eurostat/web/rural-development/data" TargetMode="External"/><Relationship Id="rId30" Type="http://schemas.openxmlformats.org/officeDocument/2006/relationships/hyperlink" Target="https://ec.europa.eu/eurostat/web/rural-development/data" TargetMode="External"/><Relationship Id="rId35" Type="http://schemas.openxmlformats.org/officeDocument/2006/relationships/hyperlink" Target="https://urban.jrc.ec.europa.eu/" TargetMode="External"/><Relationship Id="rId56" Type="http://schemas.openxmlformats.org/officeDocument/2006/relationships/hyperlink" Target="https://urban.jrc.ec.europa.eu/" TargetMode="External"/><Relationship Id="rId77" Type="http://schemas.openxmlformats.org/officeDocument/2006/relationships/hyperlink" Target="https://ec.europa.eu/eurostat/web/nuts/local-administrative-units,https:/ec.europa.eu/eurostat/web/gisco/geodata/reference-data/administrative-units-statistical-units/nuts" TargetMode="External"/><Relationship Id="rId100" Type="http://schemas.openxmlformats.org/officeDocument/2006/relationships/hyperlink" Target="https://appsso.eurostat.ec.europa.eu/nui/submitViewTableAction.do" TargetMode="External"/><Relationship Id="rId105" Type="http://schemas.openxmlformats.org/officeDocument/2006/relationships/hyperlink" Target="https://sedac.ciesin.columbia.edu/data/set/grump-v1-urban-ext-polygons-rev01/data-download" TargetMode="External"/><Relationship Id="rId8" Type="http://schemas.openxmlformats.org/officeDocument/2006/relationships/hyperlink" Target="https://ec.europa.eu/eurostat/web/rural-development/data" TargetMode="External"/><Relationship Id="rId51" Type="http://schemas.openxmlformats.org/officeDocument/2006/relationships/hyperlink" Target="https://urban.jrc.ec.europa.eu/" TargetMode="External"/><Relationship Id="rId72" Type="http://schemas.openxmlformats.org/officeDocument/2006/relationships/hyperlink" Target="https://factfinder.census.gov/bkmk/table/1.0/en/BP/2014/00CZ2/0400000US06.86100F" TargetMode="External"/><Relationship Id="rId93" Type="http://schemas.openxmlformats.org/officeDocument/2006/relationships/hyperlink" Target="https://appsso.eurostat.ec.europa.eu/nui/submitViewTableAction.do" TargetMode="External"/><Relationship Id="rId98" Type="http://schemas.openxmlformats.org/officeDocument/2006/relationships/hyperlink" Target="https://appsso.eurostat.ec.europa.eu/nui/submitViewTableAction.do" TargetMode="External"/><Relationship Id="rId3" Type="http://schemas.openxmlformats.org/officeDocument/2006/relationships/hyperlink" Target="https://www.ons.gov.uk/employmentandlabourmarket/peopleinwork/labourproductivity/datasets/subregionalproductivitylabourproductivitygvaperhourworkedandgvaperfilledjobindicesbylocalenterprisepartnership" TargetMode="External"/><Relationship Id="rId25" Type="http://schemas.openxmlformats.org/officeDocument/2006/relationships/hyperlink" Target="https://ec.europa.eu/eurostat/web/rural-development/data" TargetMode="External"/><Relationship Id="rId46" Type="http://schemas.openxmlformats.org/officeDocument/2006/relationships/hyperlink" Target="https://urban.jrc.ec.europa.eu/" TargetMode="External"/><Relationship Id="rId67" Type="http://schemas.openxmlformats.org/officeDocument/2006/relationships/hyperlink" Target="https://www.eui.eu/Research/Library/ResearchGuides/Economics/Statistics/DataPortal/ERD" TargetMode="External"/><Relationship Id="rId20" Type="http://schemas.openxmlformats.org/officeDocument/2006/relationships/hyperlink" Target="https://ec.europa.eu/eurostat/web/rural-development/data" TargetMode="External"/><Relationship Id="rId41" Type="http://schemas.openxmlformats.org/officeDocument/2006/relationships/hyperlink" Target="https://urban.jrc.ec.europa.eu/" TargetMode="External"/><Relationship Id="rId62" Type="http://schemas.openxmlformats.org/officeDocument/2006/relationships/hyperlink" Target="https://urban.jrc.ec.europa.eu/" TargetMode="External"/><Relationship Id="rId83" Type="http://schemas.openxmlformats.org/officeDocument/2006/relationships/hyperlink" Target="https://disc.gsfc.nasa.gov/datasets/M2I3NPASM_V5.12.4/summary" TargetMode="External"/><Relationship Id="rId88" Type="http://schemas.openxmlformats.org/officeDocument/2006/relationships/hyperlink" Target="https://maps.london.gov.uk/im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web/cities/data/database" TargetMode="External"/><Relationship Id="rId2" Type="http://schemas.openxmlformats.org/officeDocument/2006/relationships/hyperlink" Target="https://apps.espon.eu/datanavigator/index.php/component/datanavigator?cond=theme%20Like%20%27%25Labour%20Market%25%27%20AND%20level%20Like%20%27%25NUTS3%25%27&amp;pag=1" TargetMode="External"/><Relationship Id="rId1" Type="http://schemas.openxmlformats.org/officeDocument/2006/relationships/hyperlink" Target="https://maps.london.gov.uk/im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rbanaccessregulations.eu/countries-mainmenu-147/france/paris" TargetMode="External"/><Relationship Id="rId3" Type="http://schemas.openxmlformats.org/officeDocument/2006/relationships/hyperlink" Target="http://hub.arcgis.com/datasets/esri-de-content::umweltzone-berlin" TargetMode="External"/><Relationship Id="rId7" Type="http://schemas.openxmlformats.org/officeDocument/2006/relationships/hyperlink" Target="https://en.wikipedia.org/wiki/Low-emission_zone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hub.arcgis.com/datasets/esri-de-6::umweltzone" TargetMode="External"/><Relationship Id="rId1" Type="http://schemas.openxmlformats.org/officeDocument/2006/relationships/hyperlink" Target="https://wiki.openstreetmap.org/wiki/Tag:boundary=low%20emission%20zone?uselang=es" TargetMode="External"/><Relationship Id="rId6" Type="http://schemas.openxmlformats.org/officeDocument/2006/relationships/hyperlink" Target="https://gis.uba.de/maps470/resources/apps/uwz_dfv_lrp_0_0_2/index.html?lang=de" TargetMode="External"/><Relationship Id="rId11" Type="http://schemas.openxmlformats.org/officeDocument/2006/relationships/hyperlink" Target="https://www.lez-france.fr/en/" TargetMode="External"/><Relationship Id="rId5" Type="http://schemas.openxmlformats.org/officeDocument/2006/relationships/hyperlink" Target="http://opalpro.cs.upb.de/bg/dataset/umweltzonen_wuppertal_2" TargetMode="External"/><Relationship Id="rId10" Type="http://schemas.openxmlformats.org/officeDocument/2006/relationships/hyperlink" Target="https://dieselnet.com/standards/eu/lez.php" TargetMode="External"/><Relationship Id="rId4" Type="http://schemas.openxmlformats.org/officeDocument/2006/relationships/hyperlink" Target="https://opendata.ruhr/dataset/umweltzone-stadt-bochum" TargetMode="External"/><Relationship Id="rId9" Type="http://schemas.openxmlformats.org/officeDocument/2006/relationships/hyperlink" Target="https://urbanaccessregulations.eu/userhome/ma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gshare.com/articles/_Overview_of_low_emission_zones_LEZs_in_German_cities_included_for_analysis_17_LEZs_in_6_federal_states_/1136302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66DA-030D-4465-B3A4-2EFD8E5AF423}">
  <dimension ref="A1:N126"/>
  <sheetViews>
    <sheetView topLeftCell="A113" workbookViewId="0">
      <selection activeCell="A129" sqref="A129"/>
    </sheetView>
  </sheetViews>
  <sheetFormatPr defaultRowHeight="14.5" x14ac:dyDescent="0.35"/>
  <cols>
    <col min="1" max="1" width="56.90625" customWidth="1"/>
    <col min="2" max="2" width="8.453125" bestFit="1" customWidth="1"/>
    <col min="3" max="3" width="9.90625" bestFit="1" customWidth="1"/>
    <col min="4" max="4" width="5.81640625" customWidth="1"/>
    <col min="5" max="5" width="5.81640625" bestFit="1" customWidth="1"/>
    <col min="6" max="6" width="5.90625" bestFit="1" customWidth="1"/>
    <col min="7" max="7" width="7.81640625" bestFit="1" customWidth="1"/>
    <col min="8" max="8" width="6" customWidth="1"/>
    <col min="12" max="12" width="1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</v>
      </c>
      <c r="I1" t="s">
        <v>91</v>
      </c>
      <c r="J1" t="s">
        <v>7</v>
      </c>
      <c r="K1" t="s">
        <v>96</v>
      </c>
      <c r="L1" t="s">
        <v>128</v>
      </c>
    </row>
    <row r="2" spans="1:13" x14ac:dyDescent="0.35">
      <c r="A2" t="s">
        <v>11</v>
      </c>
      <c r="B2" t="s">
        <v>8</v>
      </c>
      <c r="C2" t="s">
        <v>36</v>
      </c>
      <c r="D2">
        <v>1998</v>
      </c>
      <c r="E2">
        <v>2017</v>
      </c>
      <c r="F2" t="s">
        <v>9</v>
      </c>
      <c r="G2" t="s">
        <v>10</v>
      </c>
      <c r="I2">
        <v>1</v>
      </c>
      <c r="J2" t="s">
        <v>12</v>
      </c>
      <c r="K2">
        <v>2</v>
      </c>
      <c r="L2">
        <v>1</v>
      </c>
    </row>
    <row r="3" spans="1:13" x14ac:dyDescent="0.35">
      <c r="A3" s="5" t="s">
        <v>52</v>
      </c>
      <c r="B3" t="s">
        <v>37</v>
      </c>
      <c r="C3" t="s">
        <v>36</v>
      </c>
      <c r="D3">
        <v>1995</v>
      </c>
      <c r="E3">
        <v>2017</v>
      </c>
      <c r="F3" t="s">
        <v>9</v>
      </c>
      <c r="G3" t="s">
        <v>38</v>
      </c>
      <c r="H3">
        <v>3</v>
      </c>
      <c r="I3">
        <v>1</v>
      </c>
      <c r="J3" s="1" t="s">
        <v>39</v>
      </c>
      <c r="K3">
        <v>23</v>
      </c>
      <c r="L3">
        <v>1</v>
      </c>
    </row>
    <row r="4" spans="1:13" x14ac:dyDescent="0.35">
      <c r="A4" s="2" t="s">
        <v>51</v>
      </c>
      <c r="B4" t="s">
        <v>37</v>
      </c>
      <c r="C4" t="s">
        <v>36</v>
      </c>
      <c r="D4">
        <v>2000</v>
      </c>
      <c r="E4">
        <v>2017</v>
      </c>
      <c r="F4" t="s">
        <v>9</v>
      </c>
      <c r="G4" t="s">
        <v>38</v>
      </c>
      <c r="H4">
        <v>3</v>
      </c>
      <c r="I4">
        <v>1</v>
      </c>
      <c r="J4" s="1" t="s">
        <v>39</v>
      </c>
      <c r="K4">
        <v>22</v>
      </c>
      <c r="L4">
        <v>2</v>
      </c>
      <c r="M4" t="s">
        <v>51</v>
      </c>
    </row>
    <row r="5" spans="1:13" x14ac:dyDescent="0.35">
      <c r="A5" s="4" t="s">
        <v>82</v>
      </c>
      <c r="B5" t="s">
        <v>37</v>
      </c>
      <c r="C5" t="s">
        <v>147</v>
      </c>
      <c r="D5">
        <v>2000</v>
      </c>
      <c r="E5">
        <v>2017</v>
      </c>
      <c r="F5" t="s">
        <v>9</v>
      </c>
      <c r="G5" t="s">
        <v>38</v>
      </c>
      <c r="H5">
        <v>4</v>
      </c>
      <c r="I5">
        <v>1</v>
      </c>
      <c r="J5" s="1" t="s">
        <v>58</v>
      </c>
      <c r="K5">
        <v>67</v>
      </c>
      <c r="L5">
        <v>4</v>
      </c>
    </row>
    <row r="6" spans="1:13" x14ac:dyDescent="0.35">
      <c r="A6" s="4" t="s">
        <v>155</v>
      </c>
      <c r="B6" t="s">
        <v>37</v>
      </c>
      <c r="C6" t="s">
        <v>156</v>
      </c>
      <c r="E6" t="s">
        <v>157</v>
      </c>
      <c r="G6" s="1" t="s">
        <v>159</v>
      </c>
      <c r="H6">
        <v>2</v>
      </c>
      <c r="I6">
        <v>2</v>
      </c>
      <c r="J6" s="1" t="s">
        <v>158</v>
      </c>
      <c r="K6">
        <v>93</v>
      </c>
    </row>
    <row r="7" spans="1:13" x14ac:dyDescent="0.35">
      <c r="A7" s="4" t="s">
        <v>155</v>
      </c>
      <c r="B7" t="s">
        <v>37</v>
      </c>
      <c r="C7" t="s">
        <v>156</v>
      </c>
      <c r="E7" t="s">
        <v>157</v>
      </c>
      <c r="G7" t="s">
        <v>160</v>
      </c>
      <c r="H7">
        <v>2</v>
      </c>
      <c r="I7">
        <v>2</v>
      </c>
      <c r="J7" t="s">
        <v>161</v>
      </c>
      <c r="K7">
        <v>94</v>
      </c>
    </row>
    <row r="8" spans="1:13" x14ac:dyDescent="0.35">
      <c r="A8" s="4" t="s">
        <v>155</v>
      </c>
      <c r="B8" t="s">
        <v>162</v>
      </c>
      <c r="C8" t="s">
        <v>156</v>
      </c>
      <c r="E8" t="s">
        <v>157</v>
      </c>
      <c r="G8" t="s">
        <v>163</v>
      </c>
      <c r="H8">
        <v>2</v>
      </c>
      <c r="I8">
        <v>2</v>
      </c>
      <c r="J8" t="s">
        <v>163</v>
      </c>
      <c r="K8">
        <v>95</v>
      </c>
    </row>
    <row r="9" spans="1:13" x14ac:dyDescent="0.35">
      <c r="A9" s="4" t="s">
        <v>248</v>
      </c>
      <c r="B9" t="s">
        <v>37</v>
      </c>
      <c r="C9" t="s">
        <v>156</v>
      </c>
      <c r="G9" t="s">
        <v>249</v>
      </c>
      <c r="H9">
        <v>2</v>
      </c>
      <c r="I9">
        <v>2</v>
      </c>
      <c r="J9" t="s">
        <v>249</v>
      </c>
      <c r="K9">
        <v>96</v>
      </c>
    </row>
    <row r="10" spans="1:13" x14ac:dyDescent="0.35">
      <c r="A10" s="4" t="s">
        <v>248</v>
      </c>
      <c r="B10" t="s">
        <v>37</v>
      </c>
      <c r="C10" t="s">
        <v>167</v>
      </c>
      <c r="D10" t="s">
        <v>154</v>
      </c>
      <c r="E10" t="s">
        <v>154</v>
      </c>
      <c r="F10" t="s">
        <v>154</v>
      </c>
      <c r="G10" t="s">
        <v>164</v>
      </c>
      <c r="H10">
        <v>2</v>
      </c>
      <c r="I10">
        <v>2</v>
      </c>
      <c r="K10">
        <v>97</v>
      </c>
    </row>
    <row r="11" spans="1:13" x14ac:dyDescent="0.35">
      <c r="A11" t="s">
        <v>13</v>
      </c>
      <c r="B11" t="s">
        <v>8</v>
      </c>
      <c r="C11" t="s">
        <v>14</v>
      </c>
      <c r="D11">
        <v>2004</v>
      </c>
      <c r="E11">
        <v>2017</v>
      </c>
      <c r="F11" t="s">
        <v>9</v>
      </c>
      <c r="G11" t="s">
        <v>10</v>
      </c>
      <c r="H11">
        <v>4</v>
      </c>
      <c r="I11">
        <v>3</v>
      </c>
      <c r="J11" t="s">
        <v>15</v>
      </c>
      <c r="K11">
        <v>3</v>
      </c>
      <c r="L11">
        <v>4</v>
      </c>
    </row>
    <row r="12" spans="1:13" x14ac:dyDescent="0.35">
      <c r="A12" s="2" t="s">
        <v>50</v>
      </c>
      <c r="B12" t="s">
        <v>37</v>
      </c>
      <c r="C12" t="s">
        <v>36</v>
      </c>
      <c r="D12">
        <v>1995</v>
      </c>
      <c r="E12">
        <v>2017</v>
      </c>
      <c r="F12" t="s">
        <v>9</v>
      </c>
      <c r="G12" t="s">
        <v>38</v>
      </c>
      <c r="H12">
        <v>4</v>
      </c>
      <c r="I12">
        <v>3</v>
      </c>
      <c r="J12" s="1" t="s">
        <v>39</v>
      </c>
      <c r="K12">
        <v>21</v>
      </c>
      <c r="L12">
        <v>4</v>
      </c>
    </row>
    <row r="13" spans="1:13" x14ac:dyDescent="0.35">
      <c r="A13" s="2" t="s">
        <v>137</v>
      </c>
      <c r="B13" t="s">
        <v>37</v>
      </c>
      <c r="C13" t="s">
        <v>36</v>
      </c>
      <c r="D13" s="15">
        <v>2008</v>
      </c>
      <c r="E13">
        <v>2016</v>
      </c>
      <c r="F13" t="s">
        <v>9</v>
      </c>
      <c r="G13" t="s">
        <v>38</v>
      </c>
      <c r="H13">
        <v>4</v>
      </c>
      <c r="I13">
        <v>3</v>
      </c>
      <c r="J13" s="1" t="s">
        <v>39</v>
      </c>
      <c r="K13">
        <v>25</v>
      </c>
      <c r="L13">
        <v>4</v>
      </c>
    </row>
    <row r="14" spans="1:13" x14ac:dyDescent="0.35">
      <c r="A14" s="2" t="s">
        <v>138</v>
      </c>
      <c r="B14" t="s">
        <v>37</v>
      </c>
      <c r="C14" t="s">
        <v>36</v>
      </c>
      <c r="D14" s="15">
        <v>2008</v>
      </c>
      <c r="E14">
        <v>2016</v>
      </c>
      <c r="F14" t="s">
        <v>9</v>
      </c>
      <c r="G14" t="s">
        <v>38</v>
      </c>
      <c r="H14">
        <v>4</v>
      </c>
      <c r="I14">
        <v>3</v>
      </c>
      <c r="J14" s="1" t="s">
        <v>39</v>
      </c>
      <c r="K14">
        <v>26</v>
      </c>
      <c r="L14">
        <v>4</v>
      </c>
    </row>
    <row r="15" spans="1:13" x14ac:dyDescent="0.35">
      <c r="A15" s="2" t="s">
        <v>139</v>
      </c>
      <c r="B15" t="s">
        <v>37</v>
      </c>
      <c r="C15" t="s">
        <v>36</v>
      </c>
      <c r="D15" s="15">
        <v>2008</v>
      </c>
      <c r="E15">
        <v>2016</v>
      </c>
      <c r="F15" t="s">
        <v>9</v>
      </c>
      <c r="G15" t="s">
        <v>38</v>
      </c>
      <c r="H15">
        <v>4</v>
      </c>
      <c r="I15">
        <v>3</v>
      </c>
      <c r="J15" s="1" t="s">
        <v>39</v>
      </c>
      <c r="K15">
        <v>27</v>
      </c>
      <c r="L15">
        <v>4</v>
      </c>
    </row>
    <row r="16" spans="1:13" x14ac:dyDescent="0.35">
      <c r="A16" s="2" t="s">
        <v>140</v>
      </c>
      <c r="B16" t="s">
        <v>37</v>
      </c>
      <c r="C16" t="s">
        <v>36</v>
      </c>
      <c r="D16" s="15">
        <v>2008</v>
      </c>
      <c r="E16">
        <v>2016</v>
      </c>
      <c r="F16" t="s">
        <v>9</v>
      </c>
      <c r="G16" t="s">
        <v>38</v>
      </c>
      <c r="H16">
        <v>4</v>
      </c>
      <c r="I16">
        <v>3</v>
      </c>
      <c r="J16" s="1" t="s">
        <v>39</v>
      </c>
      <c r="K16">
        <v>28</v>
      </c>
      <c r="L16">
        <v>4</v>
      </c>
      <c r="M16" t="s">
        <v>502</v>
      </c>
    </row>
    <row r="17" spans="1:13" x14ac:dyDescent="0.35">
      <c r="A17" s="4" t="s">
        <v>55</v>
      </c>
      <c r="B17" t="s">
        <v>37</v>
      </c>
      <c r="C17" t="s">
        <v>36</v>
      </c>
      <c r="F17" t="s">
        <v>9</v>
      </c>
      <c r="G17" t="s">
        <v>38</v>
      </c>
      <c r="H17">
        <v>4</v>
      </c>
      <c r="I17">
        <v>3</v>
      </c>
      <c r="J17" s="1" t="s">
        <v>39</v>
      </c>
      <c r="K17">
        <v>30</v>
      </c>
      <c r="L17">
        <v>5</v>
      </c>
    </row>
    <row r="18" spans="1:13" x14ac:dyDescent="0.35">
      <c r="A18" s="2" t="s">
        <v>141</v>
      </c>
      <c r="B18" t="s">
        <v>37</v>
      </c>
      <c r="C18" t="s">
        <v>36</v>
      </c>
      <c r="D18">
        <v>2003</v>
      </c>
      <c r="E18">
        <v>2016</v>
      </c>
      <c r="F18" t="s">
        <v>9</v>
      </c>
      <c r="G18" t="s">
        <v>38</v>
      </c>
      <c r="H18">
        <v>4</v>
      </c>
      <c r="I18">
        <v>3</v>
      </c>
      <c r="J18" s="1" t="s">
        <v>39</v>
      </c>
      <c r="K18">
        <v>31</v>
      </c>
      <c r="L18">
        <v>5</v>
      </c>
    </row>
    <row r="19" spans="1:13" x14ac:dyDescent="0.35">
      <c r="A19" s="2" t="s">
        <v>144</v>
      </c>
      <c r="B19" t="s">
        <v>37</v>
      </c>
      <c r="C19" t="s">
        <v>36</v>
      </c>
      <c r="D19">
        <v>1977</v>
      </c>
      <c r="E19" s="15">
        <v>2012</v>
      </c>
      <c r="F19" t="s">
        <v>9</v>
      </c>
      <c r="G19" t="s">
        <v>38</v>
      </c>
      <c r="H19">
        <v>4</v>
      </c>
      <c r="I19">
        <v>3</v>
      </c>
      <c r="J19" s="1" t="s">
        <v>39</v>
      </c>
      <c r="K19">
        <v>38</v>
      </c>
      <c r="L19">
        <v>5</v>
      </c>
    </row>
    <row r="20" spans="1:13" x14ac:dyDescent="0.35">
      <c r="A20" s="2" t="s">
        <v>134</v>
      </c>
      <c r="B20" t="s">
        <v>37</v>
      </c>
      <c r="C20" t="s">
        <v>36</v>
      </c>
      <c r="D20">
        <v>1977</v>
      </c>
      <c r="E20" s="15">
        <v>2012</v>
      </c>
      <c r="F20" t="s">
        <v>9</v>
      </c>
      <c r="G20" t="s">
        <v>38</v>
      </c>
      <c r="H20">
        <v>4</v>
      </c>
      <c r="I20">
        <v>3</v>
      </c>
      <c r="J20" s="1" t="s">
        <v>39</v>
      </c>
      <c r="K20">
        <v>39</v>
      </c>
      <c r="L20">
        <v>5</v>
      </c>
    </row>
    <row r="21" spans="1:13" x14ac:dyDescent="0.35">
      <c r="A21" s="2" t="s">
        <v>135</v>
      </c>
      <c r="B21" t="s">
        <v>37</v>
      </c>
      <c r="C21" t="s">
        <v>36</v>
      </c>
      <c r="D21">
        <v>1977</v>
      </c>
      <c r="E21" s="15">
        <v>2012</v>
      </c>
      <c r="F21" t="s">
        <v>9</v>
      </c>
      <c r="G21" t="s">
        <v>38</v>
      </c>
      <c r="H21">
        <v>4</v>
      </c>
      <c r="I21">
        <v>3</v>
      </c>
      <c r="J21" s="1" t="s">
        <v>39</v>
      </c>
      <c r="K21">
        <v>40</v>
      </c>
      <c r="L21">
        <v>5</v>
      </c>
      <c r="M21" t="s">
        <v>499</v>
      </c>
    </row>
    <row r="22" spans="1:13" x14ac:dyDescent="0.35">
      <c r="A22" t="s">
        <v>16</v>
      </c>
      <c r="B22" t="s">
        <v>17</v>
      </c>
      <c r="C22" t="s">
        <v>18</v>
      </c>
      <c r="D22">
        <v>2002</v>
      </c>
      <c r="E22">
        <v>2018</v>
      </c>
      <c r="F22" t="s">
        <v>9</v>
      </c>
      <c r="G22" t="s">
        <v>10</v>
      </c>
      <c r="I22">
        <v>3</v>
      </c>
      <c r="J22" s="1" t="s">
        <v>19</v>
      </c>
      <c r="K22">
        <v>4</v>
      </c>
      <c r="M22" t="s">
        <v>500</v>
      </c>
    </row>
    <row r="23" spans="1:13" x14ac:dyDescent="0.35">
      <c r="A23" t="s">
        <v>20</v>
      </c>
      <c r="B23" t="s">
        <v>17</v>
      </c>
      <c r="C23" t="s">
        <v>18</v>
      </c>
      <c r="D23">
        <v>2003</v>
      </c>
      <c r="E23">
        <v>2019</v>
      </c>
      <c r="F23" t="s">
        <v>9</v>
      </c>
      <c r="G23" t="s">
        <v>10</v>
      </c>
      <c r="I23">
        <v>3</v>
      </c>
      <c r="J23" s="1" t="s">
        <v>21</v>
      </c>
      <c r="K23">
        <v>5</v>
      </c>
      <c r="M23" t="s">
        <v>500</v>
      </c>
    </row>
    <row r="24" spans="1:13" x14ac:dyDescent="0.35">
      <c r="A24" t="s">
        <v>24</v>
      </c>
      <c r="B24" t="s">
        <v>8</v>
      </c>
      <c r="C24" t="s">
        <v>22</v>
      </c>
      <c r="D24">
        <v>2004</v>
      </c>
      <c r="E24">
        <v>2017</v>
      </c>
      <c r="F24" t="s">
        <v>9</v>
      </c>
      <c r="G24" t="s">
        <v>10</v>
      </c>
      <c r="I24">
        <v>3</v>
      </c>
      <c r="J24" s="1" t="s">
        <v>23</v>
      </c>
      <c r="K24">
        <v>6</v>
      </c>
    </row>
    <row r="25" spans="1:13" x14ac:dyDescent="0.35">
      <c r="A25" t="s">
        <v>25</v>
      </c>
      <c r="B25" t="s">
        <v>8</v>
      </c>
      <c r="C25" t="s">
        <v>26</v>
      </c>
      <c r="D25">
        <v>2011</v>
      </c>
      <c r="E25">
        <v>2016</v>
      </c>
      <c r="F25" t="s">
        <v>27</v>
      </c>
      <c r="G25" t="s">
        <v>10</v>
      </c>
      <c r="I25">
        <v>3</v>
      </c>
      <c r="J25" s="1" t="s">
        <v>28</v>
      </c>
      <c r="K25">
        <v>7</v>
      </c>
    </row>
    <row r="26" spans="1:13" x14ac:dyDescent="0.35">
      <c r="A26" s="2" t="s">
        <v>42</v>
      </c>
      <c r="B26" t="s">
        <v>37</v>
      </c>
      <c r="C26" t="s">
        <v>36</v>
      </c>
      <c r="D26">
        <v>1990</v>
      </c>
      <c r="E26">
        <v>2017</v>
      </c>
      <c r="F26" t="s">
        <v>9</v>
      </c>
      <c r="G26" t="s">
        <v>38</v>
      </c>
      <c r="H26">
        <v>4</v>
      </c>
      <c r="I26">
        <v>3</v>
      </c>
      <c r="J26" s="1" t="s">
        <v>39</v>
      </c>
      <c r="K26">
        <v>15</v>
      </c>
    </row>
    <row r="27" spans="1:13" x14ac:dyDescent="0.35">
      <c r="A27" s="2" t="s">
        <v>45</v>
      </c>
      <c r="B27" t="s">
        <v>37</v>
      </c>
      <c r="C27" t="s">
        <v>36</v>
      </c>
      <c r="D27">
        <v>2000</v>
      </c>
      <c r="E27">
        <v>2018</v>
      </c>
      <c r="F27" t="s">
        <v>9</v>
      </c>
      <c r="G27" t="s">
        <v>38</v>
      </c>
      <c r="H27">
        <v>4</v>
      </c>
      <c r="I27">
        <v>3</v>
      </c>
      <c r="J27" s="1" t="s">
        <v>39</v>
      </c>
      <c r="K27">
        <v>18</v>
      </c>
    </row>
    <row r="28" spans="1:13" x14ac:dyDescent="0.35">
      <c r="A28" s="4" t="s">
        <v>70</v>
      </c>
      <c r="B28" t="s">
        <v>37</v>
      </c>
      <c r="C28" t="s">
        <v>36</v>
      </c>
      <c r="D28" s="15">
        <v>2015</v>
      </c>
      <c r="E28">
        <v>2050</v>
      </c>
      <c r="F28" t="s">
        <v>48</v>
      </c>
      <c r="G28" t="s">
        <v>86</v>
      </c>
      <c r="H28">
        <v>5</v>
      </c>
      <c r="I28">
        <v>4</v>
      </c>
      <c r="J28" s="1" t="s">
        <v>58</v>
      </c>
      <c r="K28">
        <v>62</v>
      </c>
      <c r="L28">
        <v>4</v>
      </c>
    </row>
    <row r="29" spans="1:13" x14ac:dyDescent="0.35">
      <c r="A29" t="s">
        <v>29</v>
      </c>
      <c r="B29" t="s">
        <v>8</v>
      </c>
      <c r="C29" t="s">
        <v>30</v>
      </c>
      <c r="D29" s="15">
        <v>2016</v>
      </c>
      <c r="E29">
        <v>2017</v>
      </c>
      <c r="F29" t="s">
        <v>9</v>
      </c>
      <c r="G29" t="s">
        <v>10</v>
      </c>
      <c r="I29">
        <v>4</v>
      </c>
      <c r="J29" s="1" t="s">
        <v>31</v>
      </c>
      <c r="K29">
        <v>8</v>
      </c>
    </row>
    <row r="30" spans="1:13" x14ac:dyDescent="0.35">
      <c r="A30" t="s">
        <v>40</v>
      </c>
      <c r="B30" t="s">
        <v>37</v>
      </c>
      <c r="C30" t="s">
        <v>36</v>
      </c>
      <c r="D30" s="3"/>
      <c r="E30" s="3"/>
      <c r="F30" t="s">
        <v>9</v>
      </c>
      <c r="G30" t="s">
        <v>38</v>
      </c>
      <c r="H30">
        <v>5</v>
      </c>
      <c r="I30">
        <v>4</v>
      </c>
      <c r="J30" s="1" t="s">
        <v>39</v>
      </c>
      <c r="K30">
        <v>11</v>
      </c>
    </row>
    <row r="31" spans="1:13" x14ac:dyDescent="0.35">
      <c r="A31" s="2" t="s">
        <v>41</v>
      </c>
      <c r="B31" t="s">
        <v>37</v>
      </c>
      <c r="C31" t="s">
        <v>36</v>
      </c>
      <c r="D31" s="3">
        <v>1990</v>
      </c>
      <c r="E31" s="3">
        <v>2017</v>
      </c>
      <c r="F31" t="s">
        <v>9</v>
      </c>
      <c r="G31" t="s">
        <v>38</v>
      </c>
      <c r="H31">
        <v>5</v>
      </c>
      <c r="I31">
        <v>4</v>
      </c>
      <c r="J31" s="1" t="s">
        <v>39</v>
      </c>
      <c r="K31">
        <v>12</v>
      </c>
      <c r="M31" t="s">
        <v>501</v>
      </c>
    </row>
    <row r="32" spans="1:13" x14ac:dyDescent="0.35">
      <c r="A32" s="2" t="s">
        <v>136</v>
      </c>
      <c r="B32" t="s">
        <v>37</v>
      </c>
      <c r="C32" t="s">
        <v>36</v>
      </c>
      <c r="D32">
        <v>1990</v>
      </c>
      <c r="E32">
        <v>2015</v>
      </c>
      <c r="F32" t="s">
        <v>9</v>
      </c>
      <c r="G32" t="s">
        <v>38</v>
      </c>
      <c r="H32">
        <v>5</v>
      </c>
      <c r="I32">
        <v>4</v>
      </c>
      <c r="J32" s="1" t="s">
        <v>39</v>
      </c>
      <c r="K32">
        <v>13</v>
      </c>
    </row>
    <row r="33" spans="1:13" x14ac:dyDescent="0.35">
      <c r="A33" s="2" t="s">
        <v>47</v>
      </c>
      <c r="B33" t="s">
        <v>37</v>
      </c>
      <c r="C33" t="s">
        <v>36</v>
      </c>
      <c r="D33">
        <v>1990</v>
      </c>
      <c r="E33">
        <v>2018</v>
      </c>
      <c r="F33" t="s">
        <v>9</v>
      </c>
      <c r="G33" t="s">
        <v>38</v>
      </c>
      <c r="H33">
        <v>5</v>
      </c>
      <c r="I33">
        <v>4</v>
      </c>
      <c r="J33" s="1" t="s">
        <v>39</v>
      </c>
      <c r="K33">
        <v>14</v>
      </c>
    </row>
    <row r="34" spans="1:13" x14ac:dyDescent="0.35">
      <c r="A34" s="2" t="s">
        <v>43</v>
      </c>
      <c r="B34" t="s">
        <v>37</v>
      </c>
      <c r="C34" t="s">
        <v>36</v>
      </c>
      <c r="D34" s="3">
        <v>1990</v>
      </c>
      <c r="E34" s="3">
        <v>2017</v>
      </c>
      <c r="F34" t="s">
        <v>9</v>
      </c>
      <c r="G34" t="s">
        <v>38</v>
      </c>
      <c r="H34">
        <v>5</v>
      </c>
      <c r="I34">
        <v>4</v>
      </c>
      <c r="J34" s="1" t="s">
        <v>39</v>
      </c>
      <c r="K34">
        <v>16</v>
      </c>
    </row>
    <row r="35" spans="1:13" x14ac:dyDescent="0.35">
      <c r="A35" s="2" t="s">
        <v>44</v>
      </c>
      <c r="B35" t="s">
        <v>37</v>
      </c>
      <c r="C35" t="s">
        <v>36</v>
      </c>
      <c r="D35" s="3">
        <v>1990</v>
      </c>
      <c r="E35" s="3">
        <v>2017</v>
      </c>
      <c r="F35" t="s">
        <v>9</v>
      </c>
      <c r="G35" t="s">
        <v>38</v>
      </c>
      <c r="H35">
        <v>5</v>
      </c>
      <c r="I35">
        <v>4</v>
      </c>
      <c r="J35" s="1" t="s">
        <v>39</v>
      </c>
      <c r="K35">
        <v>17</v>
      </c>
    </row>
    <row r="36" spans="1:13" x14ac:dyDescent="0.35">
      <c r="A36" s="4" t="s">
        <v>59</v>
      </c>
      <c r="B36" t="s">
        <v>37</v>
      </c>
      <c r="C36" t="s">
        <v>36</v>
      </c>
      <c r="D36" s="15">
        <v>2014</v>
      </c>
      <c r="E36">
        <v>2018</v>
      </c>
      <c r="F36" t="s">
        <v>9</v>
      </c>
      <c r="G36" t="s">
        <v>38</v>
      </c>
      <c r="H36">
        <v>5</v>
      </c>
      <c r="I36">
        <v>4</v>
      </c>
      <c r="J36" s="1" t="s">
        <v>58</v>
      </c>
      <c r="K36">
        <v>43</v>
      </c>
    </row>
    <row r="37" spans="1:13" x14ac:dyDescent="0.35">
      <c r="A37" s="4" t="s">
        <v>60</v>
      </c>
      <c r="B37" t="s">
        <v>37</v>
      </c>
      <c r="C37" t="s">
        <v>92</v>
      </c>
      <c r="D37">
        <v>2000</v>
      </c>
      <c r="E37">
        <v>2018</v>
      </c>
      <c r="F37" t="s">
        <v>9</v>
      </c>
      <c r="G37" t="s">
        <v>38</v>
      </c>
      <c r="H37">
        <v>5</v>
      </c>
      <c r="I37">
        <v>4</v>
      </c>
      <c r="J37" s="1" t="s">
        <v>58</v>
      </c>
      <c r="K37">
        <v>44</v>
      </c>
    </row>
    <row r="38" spans="1:13" x14ac:dyDescent="0.35">
      <c r="A38" s="4" t="s">
        <v>95</v>
      </c>
      <c r="B38" t="s">
        <v>37</v>
      </c>
      <c r="C38" t="s">
        <v>92</v>
      </c>
      <c r="D38" s="3">
        <v>2001</v>
      </c>
      <c r="E38" s="3">
        <v>2012</v>
      </c>
      <c r="F38" t="s">
        <v>9</v>
      </c>
      <c r="G38" t="s">
        <v>38</v>
      </c>
      <c r="H38">
        <v>5</v>
      </c>
      <c r="I38">
        <v>4</v>
      </c>
      <c r="J38" s="1" t="s">
        <v>58</v>
      </c>
      <c r="K38">
        <v>54</v>
      </c>
      <c r="M38" t="s">
        <v>503</v>
      </c>
    </row>
    <row r="39" spans="1:13" x14ac:dyDescent="0.35">
      <c r="A39" s="4" t="s">
        <v>94</v>
      </c>
      <c r="B39" t="s">
        <v>37</v>
      </c>
      <c r="C39" t="s">
        <v>93</v>
      </c>
      <c r="D39" s="3">
        <v>2002</v>
      </c>
      <c r="E39" s="3">
        <v>2012</v>
      </c>
      <c r="F39" t="s">
        <v>9</v>
      </c>
      <c r="G39" t="s">
        <v>38</v>
      </c>
      <c r="H39">
        <v>5</v>
      </c>
      <c r="I39">
        <v>4</v>
      </c>
      <c r="J39" s="1" t="s">
        <v>58</v>
      </c>
      <c r="K39">
        <v>55</v>
      </c>
      <c r="M39" t="s">
        <v>503</v>
      </c>
    </row>
    <row r="40" spans="1:13" x14ac:dyDescent="0.35">
      <c r="A40" s="4" t="s">
        <v>148</v>
      </c>
      <c r="B40" t="s">
        <v>37</v>
      </c>
      <c r="C40" t="s">
        <v>153</v>
      </c>
      <c r="D40" t="s">
        <v>154</v>
      </c>
      <c r="E40" t="s">
        <v>154</v>
      </c>
      <c r="F40" t="s">
        <v>154</v>
      </c>
      <c r="G40" t="s">
        <v>38</v>
      </c>
      <c r="H40">
        <v>4</v>
      </c>
      <c r="I40">
        <v>5</v>
      </c>
      <c r="J40" s="1" t="s">
        <v>152</v>
      </c>
      <c r="K40">
        <v>91</v>
      </c>
      <c r="M40" t="s">
        <v>503</v>
      </c>
    </row>
    <row r="41" spans="1:13" x14ac:dyDescent="0.35">
      <c r="A41" s="4" t="s">
        <v>49</v>
      </c>
      <c r="B41" t="s">
        <v>37</v>
      </c>
      <c r="C41" t="s">
        <v>36</v>
      </c>
      <c r="F41" t="s">
        <v>9</v>
      </c>
      <c r="G41" t="s">
        <v>38</v>
      </c>
      <c r="J41" s="1" t="s">
        <v>39</v>
      </c>
      <c r="K41">
        <v>20</v>
      </c>
      <c r="L41">
        <v>3</v>
      </c>
      <c r="M41" t="s">
        <v>504</v>
      </c>
    </row>
    <row r="42" spans="1:13" x14ac:dyDescent="0.35">
      <c r="A42" s="4" t="s">
        <v>87</v>
      </c>
      <c r="B42" t="s">
        <v>37</v>
      </c>
      <c r="C42" t="s">
        <v>92</v>
      </c>
      <c r="D42">
        <v>1990</v>
      </c>
      <c r="E42">
        <v>2018</v>
      </c>
      <c r="F42" t="s">
        <v>9</v>
      </c>
      <c r="G42" t="s">
        <v>38</v>
      </c>
      <c r="H42">
        <v>4</v>
      </c>
      <c r="J42" s="1" t="s">
        <v>58</v>
      </c>
      <c r="K42">
        <v>71</v>
      </c>
      <c r="L42">
        <v>4</v>
      </c>
    </row>
    <row r="43" spans="1:13" x14ac:dyDescent="0.35">
      <c r="A43" s="4" t="s">
        <v>87</v>
      </c>
      <c r="B43" t="s">
        <v>37</v>
      </c>
      <c r="C43" t="s">
        <v>146</v>
      </c>
      <c r="D43">
        <v>1990</v>
      </c>
      <c r="E43">
        <v>2018</v>
      </c>
      <c r="F43" t="s">
        <v>9</v>
      </c>
      <c r="G43" t="s">
        <v>38</v>
      </c>
      <c r="H43">
        <v>4</v>
      </c>
      <c r="J43" s="1" t="s">
        <v>58</v>
      </c>
      <c r="K43">
        <v>72</v>
      </c>
      <c r="L43">
        <v>4</v>
      </c>
      <c r="M43" s="16" t="s">
        <v>510</v>
      </c>
    </row>
    <row r="44" spans="1:13" x14ac:dyDescent="0.35">
      <c r="A44" s="4" t="s">
        <v>541</v>
      </c>
      <c r="B44" t="s">
        <v>37</v>
      </c>
      <c r="C44" t="s">
        <v>89</v>
      </c>
      <c r="D44">
        <v>1999</v>
      </c>
      <c r="E44">
        <v>2019</v>
      </c>
      <c r="F44" t="s">
        <v>9</v>
      </c>
      <c r="G44" t="s">
        <v>38</v>
      </c>
      <c r="H44">
        <v>4</v>
      </c>
      <c r="J44" s="17" t="s">
        <v>553</v>
      </c>
      <c r="K44">
        <v>73</v>
      </c>
      <c r="M44" s="16"/>
    </row>
    <row r="45" spans="1:13" x14ac:dyDescent="0.35">
      <c r="A45" s="4" t="s">
        <v>540</v>
      </c>
      <c r="B45" t="s">
        <v>37</v>
      </c>
      <c r="C45" t="s">
        <v>539</v>
      </c>
      <c r="D45">
        <v>2002</v>
      </c>
      <c r="E45">
        <v>2018</v>
      </c>
      <c r="F45" t="s">
        <v>9</v>
      </c>
      <c r="G45" t="s">
        <v>38</v>
      </c>
      <c r="H45">
        <v>4</v>
      </c>
      <c r="J45" s="1" t="s">
        <v>512</v>
      </c>
      <c r="K45">
        <v>73</v>
      </c>
      <c r="M45" s="16"/>
    </row>
    <row r="46" spans="1:13" x14ac:dyDescent="0.35">
      <c r="A46" s="17" t="s">
        <v>542</v>
      </c>
      <c r="B46" t="s">
        <v>37</v>
      </c>
      <c r="C46" t="s">
        <v>89</v>
      </c>
      <c r="D46">
        <v>2000</v>
      </c>
      <c r="E46">
        <v>2017</v>
      </c>
      <c r="F46" t="s">
        <v>9</v>
      </c>
      <c r="G46" t="s">
        <v>38</v>
      </c>
      <c r="H46">
        <v>4</v>
      </c>
      <c r="J46" s="1" t="s">
        <v>554</v>
      </c>
      <c r="M46" s="16"/>
    </row>
    <row r="47" spans="1:13" x14ac:dyDescent="0.35">
      <c r="A47" s="4" t="s">
        <v>538</v>
      </c>
      <c r="B47" t="s">
        <v>37</v>
      </c>
      <c r="C47" t="s">
        <v>89</v>
      </c>
      <c r="D47">
        <v>1980</v>
      </c>
      <c r="E47">
        <v>2015</v>
      </c>
      <c r="F47" t="s">
        <v>9</v>
      </c>
      <c r="G47" t="s">
        <v>97</v>
      </c>
      <c r="H47">
        <v>4</v>
      </c>
      <c r="J47" s="1" t="s">
        <v>98</v>
      </c>
      <c r="K47">
        <v>74</v>
      </c>
      <c r="L47">
        <v>4</v>
      </c>
      <c r="M47" s="16" t="s">
        <v>537</v>
      </c>
    </row>
    <row r="48" spans="1:13" x14ac:dyDescent="0.35">
      <c r="A48" s="4" t="s">
        <v>108</v>
      </c>
      <c r="B48" t="s">
        <v>37</v>
      </c>
      <c r="C48" t="s">
        <v>109</v>
      </c>
      <c r="D48">
        <v>2000</v>
      </c>
      <c r="E48">
        <v>2017</v>
      </c>
      <c r="F48" t="s">
        <v>9</v>
      </c>
      <c r="G48" t="s">
        <v>110</v>
      </c>
      <c r="H48">
        <v>4</v>
      </c>
      <c r="J48" s="1" t="s">
        <v>111</v>
      </c>
      <c r="K48">
        <v>84</v>
      </c>
      <c r="L48">
        <v>6</v>
      </c>
    </row>
    <row r="49" spans="1:14" x14ac:dyDescent="0.35">
      <c r="A49" s="4" t="s">
        <v>113</v>
      </c>
      <c r="B49" t="s">
        <v>37</v>
      </c>
      <c r="C49" t="s">
        <v>117</v>
      </c>
      <c r="D49" s="15">
        <v>2008</v>
      </c>
      <c r="E49">
        <v>2015</v>
      </c>
      <c r="F49" t="s">
        <v>115</v>
      </c>
      <c r="G49" t="s">
        <v>118</v>
      </c>
      <c r="H49">
        <v>4</v>
      </c>
      <c r="K49">
        <v>86</v>
      </c>
      <c r="L49">
        <v>6</v>
      </c>
    </row>
    <row r="50" spans="1:14" x14ac:dyDescent="0.35">
      <c r="A50" s="4" t="s">
        <v>176</v>
      </c>
      <c r="B50" t="s">
        <v>37</v>
      </c>
      <c r="C50" t="s">
        <v>174</v>
      </c>
      <c r="D50" s="15">
        <v>2013</v>
      </c>
      <c r="E50">
        <v>2018</v>
      </c>
      <c r="F50" t="s">
        <v>115</v>
      </c>
      <c r="G50" t="s">
        <v>178</v>
      </c>
      <c r="H50">
        <v>4</v>
      </c>
      <c r="J50" s="1" t="s">
        <v>180</v>
      </c>
      <c r="K50">
        <v>87</v>
      </c>
      <c r="L50">
        <v>6</v>
      </c>
    </row>
    <row r="51" spans="1:14" x14ac:dyDescent="0.35">
      <c r="A51" s="4" t="s">
        <v>176</v>
      </c>
      <c r="B51" t="s">
        <v>37</v>
      </c>
      <c r="C51" t="s">
        <v>174</v>
      </c>
      <c r="D51" s="15">
        <v>2013</v>
      </c>
      <c r="E51">
        <v>2018</v>
      </c>
      <c r="F51" t="s">
        <v>177</v>
      </c>
      <c r="G51" t="s">
        <v>178</v>
      </c>
      <c r="H51">
        <v>4</v>
      </c>
      <c r="J51" s="1" t="s">
        <v>179</v>
      </c>
      <c r="K51">
        <v>88</v>
      </c>
      <c r="L51">
        <v>6</v>
      </c>
    </row>
    <row r="52" spans="1:14" x14ac:dyDescent="0.35">
      <c r="A52" t="s">
        <v>32</v>
      </c>
      <c r="B52" t="s">
        <v>17</v>
      </c>
      <c r="C52" t="s">
        <v>30</v>
      </c>
      <c r="D52" t="s">
        <v>33</v>
      </c>
      <c r="J52" s="1" t="s">
        <v>34</v>
      </c>
      <c r="K52">
        <v>9</v>
      </c>
    </row>
    <row r="53" spans="1:14" x14ac:dyDescent="0.35">
      <c r="A53" t="s">
        <v>35</v>
      </c>
      <c r="B53" t="s">
        <v>37</v>
      </c>
      <c r="C53" t="s">
        <v>36</v>
      </c>
      <c r="D53">
        <v>2000</v>
      </c>
      <c r="E53" s="15">
        <v>2012</v>
      </c>
      <c r="F53" t="s">
        <v>9</v>
      </c>
      <c r="G53" t="s">
        <v>38</v>
      </c>
      <c r="J53" s="1" t="s">
        <v>39</v>
      </c>
      <c r="K53">
        <v>10</v>
      </c>
    </row>
    <row r="54" spans="1:14" x14ac:dyDescent="0.35">
      <c r="A54" s="2" t="s">
        <v>46</v>
      </c>
      <c r="B54" t="s">
        <v>37</v>
      </c>
      <c r="C54" t="s">
        <v>36</v>
      </c>
      <c r="D54">
        <v>2013</v>
      </c>
      <c r="E54">
        <v>2017</v>
      </c>
      <c r="F54" t="s">
        <v>9</v>
      </c>
      <c r="G54" t="s">
        <v>38</v>
      </c>
      <c r="J54" s="1" t="s">
        <v>39</v>
      </c>
      <c r="K54">
        <v>19</v>
      </c>
      <c r="N54" s="1" t="s">
        <v>170</v>
      </c>
    </row>
    <row r="55" spans="1:14" x14ac:dyDescent="0.35">
      <c r="A55" s="4" t="s">
        <v>53</v>
      </c>
      <c r="B55" t="s">
        <v>37</v>
      </c>
      <c r="C55" t="s">
        <v>36</v>
      </c>
      <c r="F55" t="s">
        <v>9</v>
      </c>
      <c r="G55" t="s">
        <v>38</v>
      </c>
      <c r="J55" s="1" t="s">
        <v>39</v>
      </c>
      <c r="K55">
        <v>24</v>
      </c>
    </row>
    <row r="56" spans="1:14" x14ac:dyDescent="0.35">
      <c r="A56" s="4" t="s">
        <v>54</v>
      </c>
      <c r="B56" t="s">
        <v>37</v>
      </c>
      <c r="C56" t="s">
        <v>36</v>
      </c>
      <c r="F56" t="s">
        <v>9</v>
      </c>
      <c r="G56" t="s">
        <v>38</v>
      </c>
      <c r="J56" s="1" t="s">
        <v>39</v>
      </c>
      <c r="K56">
        <v>29</v>
      </c>
    </row>
    <row r="57" spans="1:14" x14ac:dyDescent="0.35">
      <c r="A57" s="4" t="s">
        <v>511</v>
      </c>
      <c r="B57" t="s">
        <v>37</v>
      </c>
      <c r="C57" t="s">
        <v>92</v>
      </c>
      <c r="D57">
        <v>2010</v>
      </c>
      <c r="E57">
        <v>2019</v>
      </c>
      <c r="F57" t="s">
        <v>9</v>
      </c>
      <c r="G57" t="s">
        <v>38</v>
      </c>
      <c r="J57" s="1" t="s">
        <v>512</v>
      </c>
      <c r="K57">
        <v>30</v>
      </c>
    </row>
    <row r="58" spans="1:14" x14ac:dyDescent="0.35">
      <c r="A58" s="2" t="s">
        <v>130</v>
      </c>
      <c r="B58" t="s">
        <v>37</v>
      </c>
      <c r="C58" t="s">
        <v>36</v>
      </c>
      <c r="D58">
        <v>2003</v>
      </c>
      <c r="E58">
        <v>2016</v>
      </c>
      <c r="F58" t="s">
        <v>9</v>
      </c>
      <c r="G58" t="s">
        <v>38</v>
      </c>
      <c r="J58" s="1" t="s">
        <v>39</v>
      </c>
      <c r="K58">
        <v>32</v>
      </c>
    </row>
    <row r="59" spans="1:14" x14ac:dyDescent="0.35">
      <c r="A59" s="2" t="s">
        <v>131</v>
      </c>
      <c r="B59" t="s">
        <v>37</v>
      </c>
      <c r="C59" t="s">
        <v>36</v>
      </c>
      <c r="D59">
        <v>2003</v>
      </c>
      <c r="E59">
        <v>2016</v>
      </c>
      <c r="F59" t="s">
        <v>9</v>
      </c>
      <c r="G59" t="s">
        <v>38</v>
      </c>
      <c r="J59" s="1" t="s">
        <v>39</v>
      </c>
      <c r="K59">
        <v>33</v>
      </c>
    </row>
    <row r="60" spans="1:14" x14ac:dyDescent="0.35">
      <c r="A60" s="2" t="s">
        <v>132</v>
      </c>
      <c r="B60" t="s">
        <v>37</v>
      </c>
      <c r="C60" t="s">
        <v>36</v>
      </c>
      <c r="D60">
        <v>1996</v>
      </c>
      <c r="E60">
        <v>2016</v>
      </c>
      <c r="F60" t="s">
        <v>9</v>
      </c>
      <c r="G60" t="s">
        <v>38</v>
      </c>
      <c r="J60" s="1" t="s">
        <v>39</v>
      </c>
      <c r="K60">
        <v>34</v>
      </c>
    </row>
    <row r="61" spans="1:14" x14ac:dyDescent="0.35">
      <c r="A61" s="2" t="s">
        <v>133</v>
      </c>
      <c r="B61" t="s">
        <v>37</v>
      </c>
      <c r="C61" t="s">
        <v>36</v>
      </c>
      <c r="F61" t="s">
        <v>9</v>
      </c>
      <c r="G61" t="s">
        <v>38</v>
      </c>
      <c r="J61" t="s">
        <v>56</v>
      </c>
      <c r="K61">
        <v>35</v>
      </c>
    </row>
    <row r="62" spans="1:14" x14ac:dyDescent="0.35">
      <c r="A62" s="2" t="s">
        <v>142</v>
      </c>
      <c r="B62" t="s">
        <v>37</v>
      </c>
      <c r="C62" t="s">
        <v>36</v>
      </c>
      <c r="F62" t="s">
        <v>9</v>
      </c>
      <c r="G62" t="s">
        <v>38</v>
      </c>
      <c r="J62" t="s">
        <v>56</v>
      </c>
      <c r="K62">
        <v>36</v>
      </c>
    </row>
    <row r="63" spans="1:14" x14ac:dyDescent="0.35">
      <c r="A63" s="2" t="s">
        <v>143</v>
      </c>
      <c r="B63" t="s">
        <v>37</v>
      </c>
      <c r="C63" t="s">
        <v>36</v>
      </c>
      <c r="F63" t="s">
        <v>9</v>
      </c>
      <c r="G63" t="s">
        <v>38</v>
      </c>
      <c r="J63" t="s">
        <v>56</v>
      </c>
      <c r="K63">
        <v>37</v>
      </c>
    </row>
    <row r="64" spans="1:14" x14ac:dyDescent="0.35">
      <c r="A64" s="4" t="s">
        <v>57</v>
      </c>
      <c r="B64" t="s">
        <v>37</v>
      </c>
      <c r="C64" t="s">
        <v>36</v>
      </c>
      <c r="D64" s="15">
        <v>2014</v>
      </c>
      <c r="E64">
        <v>2018</v>
      </c>
      <c r="F64" t="s">
        <v>9</v>
      </c>
      <c r="G64" t="s">
        <v>38</v>
      </c>
      <c r="J64" s="1" t="s">
        <v>58</v>
      </c>
      <c r="K64">
        <v>41</v>
      </c>
    </row>
    <row r="65" spans="1:11" x14ac:dyDescent="0.35">
      <c r="A65" s="4" t="s">
        <v>57</v>
      </c>
      <c r="B65" t="s">
        <v>37</v>
      </c>
      <c r="C65" t="s">
        <v>92</v>
      </c>
      <c r="D65">
        <v>2000</v>
      </c>
      <c r="E65">
        <v>2018</v>
      </c>
      <c r="F65" t="s">
        <v>9</v>
      </c>
      <c r="G65" t="s">
        <v>38</v>
      </c>
      <c r="J65" s="1" t="s">
        <v>58</v>
      </c>
      <c r="K65">
        <v>42</v>
      </c>
    </row>
    <row r="66" spans="1:11" x14ac:dyDescent="0.35">
      <c r="A66" s="4" t="s">
        <v>61</v>
      </c>
      <c r="B66" t="s">
        <v>37</v>
      </c>
      <c r="J66" s="1" t="s">
        <v>58</v>
      </c>
      <c r="K66">
        <v>45</v>
      </c>
    </row>
    <row r="67" spans="1:11" x14ac:dyDescent="0.35">
      <c r="A67" s="4" t="s">
        <v>62</v>
      </c>
      <c r="B67" t="s">
        <v>37</v>
      </c>
      <c r="J67" s="1" t="s">
        <v>58</v>
      </c>
      <c r="K67">
        <v>46</v>
      </c>
    </row>
    <row r="68" spans="1:11" x14ac:dyDescent="0.35">
      <c r="A68" s="4" t="s">
        <v>73</v>
      </c>
      <c r="B68" t="s">
        <v>37</v>
      </c>
      <c r="J68" s="1" t="s">
        <v>58</v>
      </c>
      <c r="K68">
        <v>47</v>
      </c>
    </row>
    <row r="69" spans="1:11" x14ac:dyDescent="0.35">
      <c r="A69" s="4" t="s">
        <v>74</v>
      </c>
      <c r="B69" t="s">
        <v>37</v>
      </c>
      <c r="J69" s="1" t="s">
        <v>58</v>
      </c>
      <c r="K69">
        <v>48</v>
      </c>
    </row>
    <row r="70" spans="1:11" x14ac:dyDescent="0.35">
      <c r="A70" s="4" t="s">
        <v>76</v>
      </c>
      <c r="B70" t="s">
        <v>37</v>
      </c>
      <c r="J70" s="1" t="s">
        <v>58</v>
      </c>
      <c r="K70">
        <v>49</v>
      </c>
    </row>
    <row r="71" spans="1:11" x14ac:dyDescent="0.35">
      <c r="A71" s="4" t="s">
        <v>77</v>
      </c>
      <c r="B71" t="s">
        <v>37</v>
      </c>
      <c r="J71" s="1" t="s">
        <v>58</v>
      </c>
      <c r="K71">
        <v>50</v>
      </c>
    </row>
    <row r="72" spans="1:11" x14ac:dyDescent="0.35">
      <c r="A72" s="4" t="s">
        <v>80</v>
      </c>
      <c r="B72" t="s">
        <v>37</v>
      </c>
      <c r="J72" s="1" t="s">
        <v>58</v>
      </c>
      <c r="K72">
        <v>51</v>
      </c>
    </row>
    <row r="73" spans="1:11" x14ac:dyDescent="0.35">
      <c r="A73" s="4" t="s">
        <v>78</v>
      </c>
      <c r="B73" t="s">
        <v>37</v>
      </c>
      <c r="J73" s="1" t="s">
        <v>58</v>
      </c>
      <c r="K73">
        <v>52</v>
      </c>
    </row>
    <row r="74" spans="1:11" x14ac:dyDescent="0.35">
      <c r="A74" s="4" t="s">
        <v>75</v>
      </c>
      <c r="B74" t="s">
        <v>37</v>
      </c>
      <c r="J74" s="1" t="s">
        <v>58</v>
      </c>
      <c r="K74">
        <v>53</v>
      </c>
    </row>
    <row r="75" spans="1:11" x14ac:dyDescent="0.35">
      <c r="A75" s="4" t="s">
        <v>95</v>
      </c>
      <c r="B75" t="s">
        <v>14</v>
      </c>
      <c r="C75" t="s">
        <v>516</v>
      </c>
      <c r="D75" s="3">
        <v>2000</v>
      </c>
      <c r="E75" s="3">
        <v>2018</v>
      </c>
      <c r="F75" t="s">
        <v>518</v>
      </c>
      <c r="G75" t="s">
        <v>517</v>
      </c>
      <c r="J75" s="1" t="s">
        <v>515</v>
      </c>
      <c r="K75">
        <v>54</v>
      </c>
    </row>
    <row r="76" spans="1:11" x14ac:dyDescent="0.35">
      <c r="A76" s="4" t="s">
        <v>63</v>
      </c>
      <c r="B76" t="s">
        <v>37</v>
      </c>
      <c r="J76" s="1" t="s">
        <v>58</v>
      </c>
      <c r="K76">
        <v>56</v>
      </c>
    </row>
    <row r="77" spans="1:11" x14ac:dyDescent="0.35">
      <c r="A77" s="4" t="s">
        <v>64</v>
      </c>
      <c r="B77" t="s">
        <v>37</v>
      </c>
      <c r="J77" s="1" t="s">
        <v>58</v>
      </c>
      <c r="K77">
        <v>57</v>
      </c>
    </row>
    <row r="78" spans="1:11" x14ac:dyDescent="0.35">
      <c r="A78" s="4" t="s">
        <v>65</v>
      </c>
      <c r="B78" t="s">
        <v>37</v>
      </c>
      <c r="J78" s="1" t="s">
        <v>58</v>
      </c>
      <c r="K78">
        <v>58</v>
      </c>
    </row>
    <row r="79" spans="1:11" x14ac:dyDescent="0.35">
      <c r="A79" s="4" t="s">
        <v>66</v>
      </c>
      <c r="B79" t="s">
        <v>37</v>
      </c>
      <c r="C79" t="s">
        <v>36</v>
      </c>
      <c r="D79">
        <v>2000</v>
      </c>
      <c r="E79">
        <v>2020</v>
      </c>
      <c r="F79" t="s">
        <v>9</v>
      </c>
      <c r="G79" t="s">
        <v>67</v>
      </c>
      <c r="J79" s="1" t="s">
        <v>58</v>
      </c>
      <c r="K79">
        <v>59</v>
      </c>
    </row>
    <row r="80" spans="1:11" x14ac:dyDescent="0.35">
      <c r="A80" s="4" t="s">
        <v>68</v>
      </c>
      <c r="J80" s="1" t="s">
        <v>58</v>
      </c>
      <c r="K80">
        <v>60</v>
      </c>
    </row>
    <row r="81" spans="1:11" x14ac:dyDescent="0.35">
      <c r="A81" s="4" t="s">
        <v>69</v>
      </c>
      <c r="J81" s="1" t="s">
        <v>58</v>
      </c>
      <c r="K81">
        <v>61</v>
      </c>
    </row>
    <row r="82" spans="1:11" x14ac:dyDescent="0.35">
      <c r="A82" s="4" t="s">
        <v>71</v>
      </c>
      <c r="B82" t="s">
        <v>37</v>
      </c>
      <c r="C82" t="s">
        <v>92</v>
      </c>
      <c r="D82">
        <v>2000</v>
      </c>
      <c r="E82">
        <v>2017</v>
      </c>
      <c r="F82" t="s">
        <v>9</v>
      </c>
      <c r="G82" t="s">
        <v>38</v>
      </c>
      <c r="H82">
        <v>5</v>
      </c>
      <c r="J82" s="1" t="s">
        <v>58</v>
      </c>
      <c r="K82">
        <v>63</v>
      </c>
    </row>
    <row r="83" spans="1:11" x14ac:dyDescent="0.35">
      <c r="A83" s="4" t="s">
        <v>72</v>
      </c>
      <c r="J83" s="1" t="s">
        <v>58</v>
      </c>
      <c r="K83">
        <v>64</v>
      </c>
    </row>
    <row r="84" spans="1:11" x14ac:dyDescent="0.35">
      <c r="A84" s="4" t="s">
        <v>79</v>
      </c>
      <c r="J84" s="1" t="s">
        <v>58</v>
      </c>
      <c r="K84">
        <v>65</v>
      </c>
    </row>
    <row r="85" spans="1:11" x14ac:dyDescent="0.35">
      <c r="A85" s="4" t="s">
        <v>81</v>
      </c>
      <c r="J85" s="1" t="s">
        <v>58</v>
      </c>
      <c r="K85">
        <v>66</v>
      </c>
    </row>
    <row r="86" spans="1:11" x14ac:dyDescent="0.35">
      <c r="A86" s="4" t="s">
        <v>150</v>
      </c>
      <c r="B86" t="s">
        <v>37</v>
      </c>
      <c r="C86" t="s">
        <v>147</v>
      </c>
      <c r="D86">
        <v>1981</v>
      </c>
      <c r="E86">
        <v>2011</v>
      </c>
      <c r="F86" t="s">
        <v>151</v>
      </c>
      <c r="G86" t="s">
        <v>38</v>
      </c>
      <c r="J86" s="1" t="s">
        <v>149</v>
      </c>
      <c r="K86">
        <v>68</v>
      </c>
    </row>
    <row r="87" spans="1:11" x14ac:dyDescent="0.35">
      <c r="A87" s="4" t="s">
        <v>83</v>
      </c>
      <c r="B87" t="s">
        <v>37</v>
      </c>
      <c r="C87" t="s">
        <v>84</v>
      </c>
      <c r="J87" s="1" t="s">
        <v>58</v>
      </c>
      <c r="K87">
        <v>69</v>
      </c>
    </row>
    <row r="88" spans="1:11" x14ac:dyDescent="0.35">
      <c r="A88" s="4" t="s">
        <v>85</v>
      </c>
      <c r="B88" t="s">
        <v>37</v>
      </c>
      <c r="C88" t="s">
        <v>92</v>
      </c>
      <c r="D88" s="15">
        <v>2015</v>
      </c>
      <c r="E88">
        <v>2050</v>
      </c>
      <c r="F88" t="s">
        <v>48</v>
      </c>
      <c r="G88" t="s">
        <v>86</v>
      </c>
      <c r="J88" s="1" t="s">
        <v>58</v>
      </c>
      <c r="K88">
        <v>70</v>
      </c>
    </row>
    <row r="89" spans="1:11" x14ac:dyDescent="0.35">
      <c r="A89" s="4" t="s">
        <v>88</v>
      </c>
      <c r="C89" t="s">
        <v>89</v>
      </c>
      <c r="J89" s="1" t="s">
        <v>58</v>
      </c>
      <c r="K89">
        <v>73</v>
      </c>
    </row>
    <row r="90" spans="1:11" x14ac:dyDescent="0.35">
      <c r="A90" s="4" t="s">
        <v>100</v>
      </c>
      <c r="B90" t="s">
        <v>99</v>
      </c>
      <c r="C90" t="s">
        <v>101</v>
      </c>
      <c r="D90">
        <v>2004</v>
      </c>
      <c r="E90">
        <v>2017</v>
      </c>
      <c r="F90" t="s">
        <v>9</v>
      </c>
      <c r="G90" t="s">
        <v>107</v>
      </c>
      <c r="H90" t="s">
        <v>125</v>
      </c>
      <c r="J90" s="1" t="s">
        <v>122</v>
      </c>
      <c r="K90">
        <v>75</v>
      </c>
    </row>
    <row r="91" spans="1:11" x14ac:dyDescent="0.35">
      <c r="A91" s="4" t="s">
        <v>102</v>
      </c>
      <c r="B91" t="s">
        <v>99</v>
      </c>
      <c r="C91" t="s">
        <v>101</v>
      </c>
      <c r="D91">
        <v>2004</v>
      </c>
      <c r="E91">
        <v>2017</v>
      </c>
      <c r="F91" t="s">
        <v>9</v>
      </c>
      <c r="G91" t="s">
        <v>107</v>
      </c>
      <c r="H91" t="s">
        <v>125</v>
      </c>
      <c r="J91" s="1" t="s">
        <v>122</v>
      </c>
      <c r="K91">
        <v>76</v>
      </c>
    </row>
    <row r="92" spans="1:11" x14ac:dyDescent="0.35">
      <c r="A92" s="4" t="s">
        <v>103</v>
      </c>
      <c r="B92" t="s">
        <v>99</v>
      </c>
      <c r="C92" t="s">
        <v>101</v>
      </c>
      <c r="D92">
        <v>2004</v>
      </c>
      <c r="E92">
        <v>2017</v>
      </c>
      <c r="F92" t="s">
        <v>9</v>
      </c>
      <c r="G92" t="s">
        <v>107</v>
      </c>
      <c r="H92" t="s">
        <v>125</v>
      </c>
      <c r="J92" s="1" t="s">
        <v>122</v>
      </c>
      <c r="K92">
        <v>77</v>
      </c>
    </row>
    <row r="93" spans="1:11" x14ac:dyDescent="0.35">
      <c r="A93" s="4" t="s">
        <v>104</v>
      </c>
      <c r="B93" t="s">
        <v>99</v>
      </c>
      <c r="C93" t="s">
        <v>101</v>
      </c>
      <c r="D93">
        <v>2004</v>
      </c>
      <c r="E93">
        <v>2017</v>
      </c>
      <c r="F93" t="s">
        <v>9</v>
      </c>
      <c r="G93" t="s">
        <v>107</v>
      </c>
      <c r="H93" t="s">
        <v>125</v>
      </c>
      <c r="J93" s="1" t="s">
        <v>122</v>
      </c>
      <c r="K93">
        <v>78</v>
      </c>
    </row>
    <row r="94" spans="1:11" x14ac:dyDescent="0.35">
      <c r="A94" s="4" t="s">
        <v>105</v>
      </c>
      <c r="B94" t="s">
        <v>99</v>
      </c>
      <c r="C94" t="s">
        <v>101</v>
      </c>
      <c r="D94">
        <v>2004</v>
      </c>
      <c r="E94">
        <v>2017</v>
      </c>
      <c r="F94" t="s">
        <v>9</v>
      </c>
      <c r="G94" t="s">
        <v>107</v>
      </c>
      <c r="H94" t="s">
        <v>125</v>
      </c>
      <c r="J94" s="1" t="s">
        <v>123</v>
      </c>
      <c r="K94">
        <v>79</v>
      </c>
    </row>
    <row r="95" spans="1:11" x14ac:dyDescent="0.35">
      <c r="A95" s="4" t="s">
        <v>106</v>
      </c>
      <c r="B95" t="s">
        <v>99</v>
      </c>
      <c r="C95" t="s">
        <v>101</v>
      </c>
      <c r="D95">
        <v>2004</v>
      </c>
      <c r="E95">
        <v>2017</v>
      </c>
      <c r="F95" t="s">
        <v>9</v>
      </c>
      <c r="G95" t="s">
        <v>107</v>
      </c>
      <c r="H95" t="s">
        <v>125</v>
      </c>
      <c r="J95" s="1" t="s">
        <v>123</v>
      </c>
      <c r="K95">
        <v>80</v>
      </c>
    </row>
    <row r="96" spans="1:11" x14ac:dyDescent="0.35">
      <c r="A96" s="2" t="s">
        <v>129</v>
      </c>
      <c r="B96" t="s">
        <v>37</v>
      </c>
      <c r="J96" s="1"/>
      <c r="K96">
        <v>81</v>
      </c>
    </row>
    <row r="97" spans="1:14" x14ac:dyDescent="0.35">
      <c r="A97" s="4" t="s">
        <v>108</v>
      </c>
      <c r="B97" t="s">
        <v>99</v>
      </c>
      <c r="C97" t="s">
        <v>109</v>
      </c>
      <c r="D97">
        <v>2000</v>
      </c>
      <c r="E97">
        <v>2017</v>
      </c>
      <c r="F97" t="s">
        <v>9</v>
      </c>
      <c r="G97" t="s">
        <v>110</v>
      </c>
      <c r="H97" t="s">
        <v>112</v>
      </c>
      <c r="J97" s="1" t="s">
        <v>111</v>
      </c>
      <c r="K97">
        <v>82</v>
      </c>
    </row>
    <row r="98" spans="1:14" x14ac:dyDescent="0.35">
      <c r="A98" s="4" t="s">
        <v>145</v>
      </c>
      <c r="B98" t="s">
        <v>99</v>
      </c>
      <c r="C98" t="s">
        <v>109</v>
      </c>
      <c r="D98">
        <v>2000</v>
      </c>
      <c r="E98">
        <v>2017</v>
      </c>
      <c r="F98" t="s">
        <v>9</v>
      </c>
      <c r="G98" t="s">
        <v>110</v>
      </c>
      <c r="H98" t="s">
        <v>112</v>
      </c>
      <c r="J98" s="1" t="s">
        <v>111</v>
      </c>
      <c r="K98">
        <v>83</v>
      </c>
    </row>
    <row r="99" spans="1:14" x14ac:dyDescent="0.35">
      <c r="A99" s="4" t="s">
        <v>113</v>
      </c>
      <c r="B99" t="s">
        <v>114</v>
      </c>
      <c r="C99" t="s">
        <v>119</v>
      </c>
      <c r="D99">
        <v>1980</v>
      </c>
      <c r="E99">
        <v>2018</v>
      </c>
      <c r="F99" t="s">
        <v>115</v>
      </c>
      <c r="G99" t="s">
        <v>116</v>
      </c>
      <c r="H99" t="s">
        <v>112</v>
      </c>
      <c r="K99">
        <v>85</v>
      </c>
    </row>
    <row r="100" spans="1:14" x14ac:dyDescent="0.35">
      <c r="A100" s="6" t="s">
        <v>124</v>
      </c>
      <c r="B100" t="s">
        <v>99</v>
      </c>
      <c r="C100" t="s">
        <v>174</v>
      </c>
      <c r="D100" t="s">
        <v>175</v>
      </c>
      <c r="E100" t="s">
        <v>175</v>
      </c>
      <c r="F100" t="s">
        <v>175</v>
      </c>
      <c r="G100" t="s">
        <v>121</v>
      </c>
      <c r="H100" t="s">
        <v>126</v>
      </c>
      <c r="J100" s="1" t="s">
        <v>120</v>
      </c>
      <c r="K100">
        <v>89</v>
      </c>
    </row>
    <row r="101" spans="1:14" x14ac:dyDescent="0.35">
      <c r="A101" s="6" t="s">
        <v>127</v>
      </c>
      <c r="B101" t="s">
        <v>99</v>
      </c>
      <c r="C101" t="s">
        <v>119</v>
      </c>
      <c r="D101">
        <v>1980</v>
      </c>
      <c r="E101" t="s">
        <v>169</v>
      </c>
      <c r="F101" t="s">
        <v>115</v>
      </c>
      <c r="G101" t="s">
        <v>168</v>
      </c>
      <c r="H101" t="s">
        <v>126</v>
      </c>
      <c r="J101" s="1" t="s">
        <v>171</v>
      </c>
      <c r="K101">
        <v>90</v>
      </c>
      <c r="N101" s="1" t="s">
        <v>250</v>
      </c>
    </row>
    <row r="102" spans="1:14" x14ac:dyDescent="0.35">
      <c r="A102" t="s">
        <v>165</v>
      </c>
      <c r="B102" t="s">
        <v>162</v>
      </c>
      <c r="C102" t="s">
        <v>167</v>
      </c>
      <c r="D102" t="s">
        <v>154</v>
      </c>
      <c r="E102">
        <v>2017</v>
      </c>
      <c r="F102" t="s">
        <v>9</v>
      </c>
      <c r="G102" t="s">
        <v>166</v>
      </c>
      <c r="K102">
        <v>92</v>
      </c>
    </row>
    <row r="103" spans="1:14" x14ac:dyDescent="0.35">
      <c r="A103" s="6" t="s">
        <v>124</v>
      </c>
      <c r="B103" t="s">
        <v>114</v>
      </c>
      <c r="C103" t="s">
        <v>174</v>
      </c>
      <c r="D103" t="s">
        <v>175</v>
      </c>
      <c r="E103" t="s">
        <v>175</v>
      </c>
      <c r="F103" t="s">
        <v>115</v>
      </c>
      <c r="G103" t="s">
        <v>173</v>
      </c>
      <c r="H103" t="s">
        <v>126</v>
      </c>
      <c r="J103" t="s">
        <v>172</v>
      </c>
      <c r="K103">
        <v>98</v>
      </c>
    </row>
    <row r="104" spans="1:14" x14ac:dyDescent="0.35">
      <c r="A104" s="4" t="s">
        <v>182</v>
      </c>
      <c r="B104" t="s">
        <v>114</v>
      </c>
      <c r="C104" t="s">
        <v>156</v>
      </c>
      <c r="E104">
        <v>1995</v>
      </c>
      <c r="F104">
        <v>1995</v>
      </c>
      <c r="G104" t="s">
        <v>183</v>
      </c>
      <c r="J104" s="1" t="s">
        <v>181</v>
      </c>
      <c r="K104">
        <v>99</v>
      </c>
    </row>
    <row r="105" spans="1:14" x14ac:dyDescent="0.35">
      <c r="A105" s="4" t="s">
        <v>189</v>
      </c>
      <c r="B105" t="s">
        <v>17</v>
      </c>
      <c r="C105" t="s">
        <v>156</v>
      </c>
      <c r="E105">
        <v>2016</v>
      </c>
      <c r="F105">
        <v>1</v>
      </c>
      <c r="G105" t="s">
        <v>190</v>
      </c>
      <c r="J105" s="1" t="s">
        <v>191</v>
      </c>
      <c r="K105">
        <v>100</v>
      </c>
    </row>
    <row r="106" spans="1:14" x14ac:dyDescent="0.35">
      <c r="A106" s="4" t="s">
        <v>192</v>
      </c>
      <c r="B106" t="s">
        <v>17</v>
      </c>
      <c r="C106" t="s">
        <v>30</v>
      </c>
      <c r="E106">
        <v>2016</v>
      </c>
      <c r="F106">
        <v>1</v>
      </c>
      <c r="G106" t="s">
        <v>190</v>
      </c>
      <c r="J106" s="1" t="s">
        <v>188</v>
      </c>
      <c r="K106">
        <v>101</v>
      </c>
    </row>
    <row r="107" spans="1:14" x14ac:dyDescent="0.35">
      <c r="A107" s="4" t="s">
        <v>195</v>
      </c>
      <c r="B107" t="s">
        <v>17</v>
      </c>
      <c r="C107" t="s">
        <v>193</v>
      </c>
      <c r="G107" t="s">
        <v>190</v>
      </c>
      <c r="J107" s="1" t="s">
        <v>194</v>
      </c>
      <c r="K107">
        <v>102</v>
      </c>
    </row>
    <row r="108" spans="1:14" x14ac:dyDescent="0.35">
      <c r="A108" s="4" t="s">
        <v>505</v>
      </c>
      <c r="B108" t="s">
        <v>8</v>
      </c>
      <c r="C108" t="s">
        <v>156</v>
      </c>
      <c r="D108">
        <v>2000</v>
      </c>
      <c r="E108">
        <v>2018</v>
      </c>
      <c r="F108" t="s">
        <v>115</v>
      </c>
      <c r="G108" s="1" t="s">
        <v>507</v>
      </c>
      <c r="J108" s="1" t="s">
        <v>506</v>
      </c>
    </row>
    <row r="109" spans="1:14" x14ac:dyDescent="0.35">
      <c r="A109" s="4" t="s">
        <v>519</v>
      </c>
      <c r="B109" t="s">
        <v>37</v>
      </c>
      <c r="C109" t="s">
        <v>84</v>
      </c>
      <c r="D109" t="s">
        <v>520</v>
      </c>
      <c r="E109">
        <v>2015</v>
      </c>
      <c r="F109" t="s">
        <v>177</v>
      </c>
      <c r="G109" t="s">
        <v>521</v>
      </c>
      <c r="J109" s="1" t="s">
        <v>522</v>
      </c>
    </row>
    <row r="110" spans="1:14" x14ac:dyDescent="0.35">
      <c r="A110" s="4" t="s">
        <v>526</v>
      </c>
      <c r="B110" t="s">
        <v>523</v>
      </c>
      <c r="C110" t="s">
        <v>524</v>
      </c>
      <c r="D110">
        <v>1997</v>
      </c>
      <c r="E110">
        <v>2007</v>
      </c>
      <c r="F110" t="s">
        <v>276</v>
      </c>
      <c r="G110" t="s">
        <v>525</v>
      </c>
    </row>
    <row r="111" spans="1:14" x14ac:dyDescent="0.35">
      <c r="A111" s="4" t="s">
        <v>527</v>
      </c>
      <c r="C111" t="s">
        <v>162</v>
      </c>
      <c r="D111">
        <v>2005</v>
      </c>
      <c r="E111">
        <v>2008</v>
      </c>
      <c r="F111" t="s">
        <v>177</v>
      </c>
      <c r="G111" t="s">
        <v>525</v>
      </c>
    </row>
    <row r="112" spans="1:14" x14ac:dyDescent="0.35">
      <c r="A112" t="s">
        <v>528</v>
      </c>
      <c r="B112" t="s">
        <v>529</v>
      </c>
      <c r="C112" t="s">
        <v>536</v>
      </c>
      <c r="D112">
        <v>2008</v>
      </c>
      <c r="E112" t="s">
        <v>530</v>
      </c>
      <c r="F112" t="s">
        <v>177</v>
      </c>
      <c r="G112" t="s">
        <v>531</v>
      </c>
      <c r="J112" t="s">
        <v>525</v>
      </c>
    </row>
    <row r="113" spans="1:11" x14ac:dyDescent="0.35">
      <c r="A113" s="4" t="s">
        <v>532</v>
      </c>
      <c r="B113" t="s">
        <v>162</v>
      </c>
      <c r="C113" t="s">
        <v>14</v>
      </c>
      <c r="D113">
        <v>2008</v>
      </c>
      <c r="E113">
        <v>2020</v>
      </c>
      <c r="F113" t="s">
        <v>115</v>
      </c>
      <c r="G113" t="s">
        <v>533</v>
      </c>
      <c r="H113" t="s">
        <v>550</v>
      </c>
      <c r="J113" s="1" t="s">
        <v>534</v>
      </c>
    </row>
    <row r="114" spans="1:11" x14ac:dyDescent="0.35">
      <c r="A114" s="4" t="s">
        <v>535</v>
      </c>
      <c r="B114" t="s">
        <v>162</v>
      </c>
      <c r="C114" t="s">
        <v>14</v>
      </c>
      <c r="D114">
        <v>2005</v>
      </c>
      <c r="E114">
        <v>2020</v>
      </c>
      <c r="F114" t="s">
        <v>177</v>
      </c>
      <c r="G114" t="s">
        <v>533</v>
      </c>
      <c r="J114" s="1" t="s">
        <v>534</v>
      </c>
    </row>
    <row r="115" spans="1:11" x14ac:dyDescent="0.35">
      <c r="A115" s="4" t="s">
        <v>543</v>
      </c>
      <c r="B115" t="s">
        <v>162</v>
      </c>
      <c r="C115" t="s">
        <v>544</v>
      </c>
      <c r="D115">
        <v>1990</v>
      </c>
      <c r="E115">
        <v>2017</v>
      </c>
      <c r="F115" t="s">
        <v>177</v>
      </c>
      <c r="G115" t="s">
        <v>546</v>
      </c>
      <c r="J115" s="1" t="s">
        <v>545</v>
      </c>
    </row>
    <row r="116" spans="1:11" x14ac:dyDescent="0.35">
      <c r="A116" s="4" t="s">
        <v>568</v>
      </c>
      <c r="J116" s="1" t="s">
        <v>569</v>
      </c>
    </row>
    <row r="117" spans="1:11" x14ac:dyDescent="0.35">
      <c r="A117" t="s">
        <v>547</v>
      </c>
      <c r="B117" t="s">
        <v>37</v>
      </c>
      <c r="C117" t="s">
        <v>439</v>
      </c>
      <c r="D117">
        <v>1990</v>
      </c>
      <c r="G117" t="s">
        <v>38</v>
      </c>
    </row>
    <row r="118" spans="1:11" x14ac:dyDescent="0.35">
      <c r="A118" t="s">
        <v>549</v>
      </c>
      <c r="B118" t="s">
        <v>37</v>
      </c>
      <c r="C118" t="s">
        <v>548</v>
      </c>
      <c r="D118">
        <v>2000</v>
      </c>
      <c r="E118">
        <v>2017</v>
      </c>
      <c r="F118" t="s">
        <v>177</v>
      </c>
      <c r="G118" t="s">
        <v>38</v>
      </c>
      <c r="J118" s="1" t="s">
        <v>512</v>
      </c>
    </row>
    <row r="119" spans="1:11" x14ac:dyDescent="0.35">
      <c r="A119" t="s">
        <v>551</v>
      </c>
      <c r="B119" t="s">
        <v>37</v>
      </c>
      <c r="C119" t="s">
        <v>439</v>
      </c>
      <c r="D119">
        <v>2001</v>
      </c>
      <c r="E119">
        <v>2001</v>
      </c>
      <c r="F119" t="s">
        <v>177</v>
      </c>
      <c r="G119" t="s">
        <v>38</v>
      </c>
      <c r="J119" s="1" t="s">
        <v>552</v>
      </c>
    </row>
    <row r="120" spans="1:11" x14ac:dyDescent="0.35">
      <c r="A120" t="s">
        <v>570</v>
      </c>
      <c r="B120" t="s">
        <v>162</v>
      </c>
      <c r="C120" t="s">
        <v>571</v>
      </c>
      <c r="D120" t="s">
        <v>572</v>
      </c>
      <c r="E120" t="s">
        <v>572</v>
      </c>
      <c r="F120" t="s">
        <v>572</v>
      </c>
      <c r="G120" t="s">
        <v>574</v>
      </c>
      <c r="J120" s="1" t="s">
        <v>573</v>
      </c>
    </row>
    <row r="121" spans="1:11" x14ac:dyDescent="0.35">
      <c r="A121" t="s">
        <v>555</v>
      </c>
      <c r="B121" t="s">
        <v>557</v>
      </c>
      <c r="C121" t="s">
        <v>556</v>
      </c>
      <c r="D121">
        <v>2003</v>
      </c>
      <c r="E121">
        <v>2018</v>
      </c>
      <c r="F121" t="s">
        <v>177</v>
      </c>
      <c r="G121" t="s">
        <v>557</v>
      </c>
      <c r="J121" s="1" t="s">
        <v>559</v>
      </c>
      <c r="K121" t="s">
        <v>558</v>
      </c>
    </row>
    <row r="122" spans="1:11" x14ac:dyDescent="0.35">
      <c r="A122" t="s">
        <v>560</v>
      </c>
      <c r="B122" t="s">
        <v>557</v>
      </c>
      <c r="C122" t="s">
        <v>556</v>
      </c>
      <c r="D122">
        <v>2004</v>
      </c>
      <c r="E122">
        <v>2018</v>
      </c>
      <c r="F122" t="s">
        <v>177</v>
      </c>
      <c r="G122" t="s">
        <v>557</v>
      </c>
      <c r="I122" s="15" t="s">
        <v>564</v>
      </c>
      <c r="J122" s="1" t="s">
        <v>559</v>
      </c>
      <c r="K122" t="s">
        <v>558</v>
      </c>
    </row>
    <row r="123" spans="1:11" x14ac:dyDescent="0.35">
      <c r="A123" t="s">
        <v>561</v>
      </c>
      <c r="B123" t="s">
        <v>557</v>
      </c>
      <c r="C123" t="s">
        <v>539</v>
      </c>
      <c r="D123">
        <v>2001</v>
      </c>
      <c r="E123">
        <v>2018</v>
      </c>
      <c r="F123" t="s">
        <v>177</v>
      </c>
      <c r="G123" t="s">
        <v>557</v>
      </c>
      <c r="I123" t="s">
        <v>563</v>
      </c>
      <c r="J123" s="1" t="s">
        <v>559</v>
      </c>
      <c r="K123" t="s">
        <v>562</v>
      </c>
    </row>
    <row r="125" spans="1:11" x14ac:dyDescent="0.35">
      <c r="A125" t="s">
        <v>565</v>
      </c>
      <c r="B125" s="1" t="s">
        <v>181</v>
      </c>
    </row>
    <row r="126" spans="1:11" x14ac:dyDescent="0.35">
      <c r="A126" t="s">
        <v>566</v>
      </c>
      <c r="B126" s="1" t="s">
        <v>567</v>
      </c>
    </row>
  </sheetData>
  <autoFilter ref="A1:L97" xr:uid="{7953E288-EBD9-4B88-A7E8-6E4B27C934F1}">
    <sortState xmlns:xlrd2="http://schemas.microsoft.com/office/spreadsheetml/2017/richdata2" ref="A2:L112">
      <sortCondition ref="I1:I97"/>
    </sortState>
  </autoFilter>
  <phoneticPr fontId="3" type="noConversion"/>
  <hyperlinks>
    <hyperlink ref="J22" r:id="rId1" xr:uid="{3E594BE9-28CF-4444-BB8E-15A38D69ED0D}"/>
    <hyperlink ref="J23" r:id="rId2" xr:uid="{D9BCD022-E592-4D0C-8BB6-305663AE5D7F}"/>
    <hyperlink ref="J24" r:id="rId3" xr:uid="{15F5E936-80BC-49DB-A16E-88D5CA397047}"/>
    <hyperlink ref="J25" r:id="rId4" xr:uid="{B490B818-6B0D-4FDD-801E-60A0892F6B3D}"/>
    <hyperlink ref="J29" r:id="rId5" xr:uid="{D408D699-A5C0-4A18-89E2-75E65B106C58}"/>
    <hyperlink ref="J52" r:id="rId6" xr:uid="{75559803-5954-4CBB-A5C4-3C2152B12699}"/>
    <hyperlink ref="J53" r:id="rId7" xr:uid="{F9A96D10-1FF8-4F1B-A137-C68776F281C3}"/>
    <hyperlink ref="J30" r:id="rId8" xr:uid="{3A5EAF3F-FF5B-46C8-98BB-1630B5C2C87C}"/>
    <hyperlink ref="J31" r:id="rId9" xr:uid="{6E1BAB61-6480-454A-907E-3086A4AB6B43}"/>
    <hyperlink ref="J32" r:id="rId10" xr:uid="{1B36F05F-0896-41B0-A7E2-81F89E6EE084}"/>
    <hyperlink ref="J33" r:id="rId11" xr:uid="{4263D3CF-752E-4B75-92E0-9449F4BAAA1D}"/>
    <hyperlink ref="J26" r:id="rId12" xr:uid="{2ACD8089-E880-486A-89BF-B9F1181694FC}"/>
    <hyperlink ref="J34" r:id="rId13" xr:uid="{60D512BB-145D-4BE0-9D0A-3A31B375E84C}"/>
    <hyperlink ref="J35" r:id="rId14" xr:uid="{11FEB006-5C75-4946-A9B9-B4BF298FFBB1}"/>
    <hyperlink ref="J27" r:id="rId15" xr:uid="{DD98E489-1C95-4909-9012-03401F27364B}"/>
    <hyperlink ref="J54" r:id="rId16" xr:uid="{B964B9E8-4E4F-449E-8DB1-2CFBE446648F}"/>
    <hyperlink ref="J41" r:id="rId17" xr:uid="{671CD00B-C28C-48AD-9E01-092859A608A3}"/>
    <hyperlink ref="J4" r:id="rId18" xr:uid="{83FAFAEB-39AB-4F55-AC9E-A957FC9FD62F}"/>
    <hyperlink ref="J12" r:id="rId19" xr:uid="{617D2F69-FB51-4049-90FB-B10999417450}"/>
    <hyperlink ref="J3" r:id="rId20" xr:uid="{AEE17FBC-2994-4525-9C7E-992FEF0E42D3}"/>
    <hyperlink ref="J13" r:id="rId21" xr:uid="{72F4B316-1A6A-440E-88C5-DD8B332F9B1D}"/>
    <hyperlink ref="J15" r:id="rId22" xr:uid="{4448BDC2-7277-4B11-918F-3BA3F00DB94F}"/>
    <hyperlink ref="J14" r:id="rId23" xr:uid="{81174446-68A2-4E0A-A95F-D45F34D88EBD}"/>
    <hyperlink ref="J16" r:id="rId24" xr:uid="{59D1FC99-242E-4858-9261-F023F6232811}"/>
    <hyperlink ref="J56" r:id="rId25" xr:uid="{50DC1435-8173-4691-BF88-F57685C48853}"/>
    <hyperlink ref="J18" r:id="rId26" xr:uid="{BEAAFDEE-9335-4A8D-8C1F-F8FF198F0D3A}"/>
    <hyperlink ref="J59" r:id="rId27" xr:uid="{32480930-2A50-467F-87A8-2AC5549BDE8D}"/>
    <hyperlink ref="J20" r:id="rId28" xr:uid="{66806B10-0733-40D3-B591-BB2F4059FD5F}"/>
    <hyperlink ref="J17" r:id="rId29" xr:uid="{A84F94D3-A323-43ED-B7CD-49D01BC1834A}"/>
    <hyperlink ref="J58" r:id="rId30" xr:uid="{39A11426-AE79-4383-88E5-FA57D72ED1F2}"/>
    <hyperlink ref="J60" r:id="rId31" xr:uid="{DD9D920E-D4DA-45DF-8DF8-220669749715}"/>
    <hyperlink ref="J19" r:id="rId32" xr:uid="{3ED6D2FA-DFF6-4D85-8793-A4C9321D2A26}"/>
    <hyperlink ref="J21" r:id="rId33" xr:uid="{BBCCFC30-F690-4083-892D-109EC18A9F65}"/>
    <hyperlink ref="J55" r:id="rId34" xr:uid="{99024B16-DD13-4877-A807-990FEC756639}"/>
    <hyperlink ref="J64" r:id="rId35" location="/en/download" display="https://urban.jrc.ec.europa.eu/ - /en/download" xr:uid="{EF212163-1E44-4C6B-8E21-0A68678ADCB4}"/>
    <hyperlink ref="J65" r:id="rId36" location="/en/download" display="https://urban.jrc.ec.europa.eu/ - /en/download" xr:uid="{DBE4C635-1344-460A-BA23-DE09158472B6}"/>
    <hyperlink ref="J36" r:id="rId37" location="/en/download" display="https://urban.jrc.ec.europa.eu/ - /en/download" xr:uid="{425CC358-08B2-4721-8665-E71ABEB8C438}"/>
    <hyperlink ref="J37" r:id="rId38" location="/en/download" display="https://urban.jrc.ec.europa.eu/ - /en/download" xr:uid="{C7542565-A15B-42D2-9092-2988B9AE87E6}"/>
    <hyperlink ref="J88" r:id="rId39" location="/en/download" display="https://urban.jrc.ec.europa.eu/ - /en/download" xr:uid="{C64770CB-F012-4FFA-8BC4-9165200DF807}"/>
    <hyperlink ref="J87" r:id="rId40" location="/en/download" display="https://urban.jrc.ec.europa.eu/ - /en/download" xr:uid="{49686094-C384-4312-81E5-A06ACE2A69E2}"/>
    <hyperlink ref="J5" r:id="rId41" location="/en/download" display="https://urban.jrc.ec.europa.eu/ - /en/download" xr:uid="{9CEDB38C-09A9-4AF7-8DCB-A3C8042F2E08}"/>
    <hyperlink ref="J85" r:id="rId42" location="/en/download" display="https://urban.jrc.ec.europa.eu/ - /en/download" xr:uid="{466C29A9-4AAB-449D-B878-B90EAF88337A}"/>
    <hyperlink ref="J69" r:id="rId43" location="/en/download" display="https://urban.jrc.ec.europa.eu/ - /en/download" xr:uid="{20DB5C06-85B6-4CEA-97D3-415A3B32DC5C}"/>
    <hyperlink ref="J73" r:id="rId44" location="/en/download" display="https://urban.jrc.ec.europa.eu/ - /en/download" xr:uid="{2F442954-A029-4716-9E6A-94D7D6D812E3}"/>
    <hyperlink ref="J76" r:id="rId45" location="/en/download" display="https://urban.jrc.ec.europa.eu/ - /en/download" xr:uid="{0EBA7034-C936-44D0-B314-5454A121A61E}"/>
    <hyperlink ref="J80" r:id="rId46" location="/en/download" display="https://urban.jrc.ec.europa.eu/ - /en/download" xr:uid="{8709295A-B8EF-4E77-ACFA-DBAA3EB65124}"/>
    <hyperlink ref="J83" r:id="rId47" location="/en/download" display="https://urban.jrc.ec.europa.eu/ - /en/download" xr:uid="{071CC3A0-C9D3-4E98-B6B2-19C77D628452}"/>
    <hyperlink ref="J68" r:id="rId48" location="/en/download" display="https://urban.jrc.ec.europa.eu/ - /en/download" xr:uid="{C19BB749-6AD2-4A58-82C7-AD353C20BFFA}"/>
    <hyperlink ref="J72" r:id="rId49" location="/en/download" display="https://urban.jrc.ec.europa.eu/ - /en/download" xr:uid="{907C4591-34DB-4C7F-A4F6-85159E10373E}"/>
    <hyperlink ref="J39" r:id="rId50" location="/en/download" display="https://urban.jrc.ec.europa.eu/ - /en/download" xr:uid="{E86C2811-CACB-4C17-963D-C3C48170245A}"/>
    <hyperlink ref="J79" r:id="rId51" location="/en/download" display="https://urban.jrc.ec.europa.eu/ - /en/download" xr:uid="{D7951156-99E1-440D-94F5-8991597FCE85}"/>
    <hyperlink ref="J82" r:id="rId52" location="/en/download" display="https://urban.jrc.ec.europa.eu/ - /en/download" xr:uid="{6164A16B-C209-49F7-A181-868D92FE7FC5}"/>
    <hyperlink ref="J67" r:id="rId53" location="/en/download" display="https://urban.jrc.ec.europa.eu/ - /en/download" xr:uid="{0C0C7613-EBB0-482C-8F06-B325FF0539EB}"/>
    <hyperlink ref="J71" r:id="rId54" location="/en/download" xr:uid="{3488008D-FCD9-4D00-B2E7-BFC520BF1587}"/>
    <hyperlink ref="J38" r:id="rId55" location="/en/download" display="https://urban.jrc.ec.europa.eu/ - /en/download" xr:uid="{937032A0-0EA0-45FA-9B91-A39F01161B72}"/>
    <hyperlink ref="J78" r:id="rId56" location="/en/download" display="https://urban.jrc.ec.europa.eu/ - /en/download" xr:uid="{244BBD05-CE56-41A0-B6AD-C9790A568E02}"/>
    <hyperlink ref="J28" r:id="rId57" location="/en/download" display="https://urban.jrc.ec.europa.eu/ - /en/download" xr:uid="{0315049F-D29C-4B4D-B33A-4D5F25BA541A}"/>
    <hyperlink ref="J66" r:id="rId58" location="/en/download" display="https://urban.jrc.ec.europa.eu/ - /en/download" xr:uid="{60448EDE-FAD5-4F26-A06E-149AA7823B77}"/>
    <hyperlink ref="J70" r:id="rId59" location="/en/download" display="https://urban.jrc.ec.europa.eu/ - /en/download" xr:uid="{3CACEB0F-573B-429A-B88E-E21B02F723A8}"/>
    <hyperlink ref="J74" r:id="rId60" location="/en/download" display="https://urban.jrc.ec.europa.eu/ - /en/download" xr:uid="{3C14D6FC-7CC9-4378-B3A3-A70EC5674CF8}"/>
    <hyperlink ref="J77" r:id="rId61" location="/en/download" display="https://urban.jrc.ec.europa.eu/ - /en/download" xr:uid="{A89E59C4-926F-4F17-9912-D47F5C330BCA}"/>
    <hyperlink ref="J81" r:id="rId62" location="/en/download" display="https://urban.jrc.ec.europa.eu/ - /en/download" xr:uid="{77AB0E6E-A036-4513-A0CF-C4105BF2EA26}"/>
    <hyperlink ref="J84" r:id="rId63" location="/en/download" display="https://urban.jrc.ec.europa.eu/ - /en/download" xr:uid="{B8FB595B-F166-413A-859D-D272D116594B}"/>
    <hyperlink ref="J42" r:id="rId64" location="/en/download" display="https://urban.jrc.ec.europa.eu/ - /en/download" xr:uid="{8CA2E080-CB88-410D-849F-DBFFA3396930}"/>
    <hyperlink ref="J43" r:id="rId65" location="/en/download" display="https://urban.jrc.ec.europa.eu/ - /en/download" xr:uid="{C8DFF972-87EB-4A67-8C54-831B42A79A1A}"/>
    <hyperlink ref="J89" r:id="rId66" location="/en/download" display="https://urban.jrc.ec.europa.eu/ - /en/download" xr:uid="{C8DC9104-ED33-49A9-9C84-DD45D729C961}"/>
    <hyperlink ref="J47" r:id="rId67" xr:uid="{BA4E26C4-BC4C-4E81-93DC-EA80ECA4650C}"/>
    <hyperlink ref="J97" r:id="rId68" xr:uid="{9E3F4CB1-E61F-44F4-BFF2-839E66E045A5}"/>
    <hyperlink ref="J98" r:id="rId69" xr:uid="{76491627-4F68-4A7D-8DAA-38FDA3201B50}"/>
    <hyperlink ref="J100" r:id="rId70" xr:uid="{EEC381F1-A627-4037-99AC-9008A2AD9679}"/>
    <hyperlink ref="J90" r:id="rId71" display="https://factfinder.census.gov/bkmk/table/1.0/en/BP/2014/00CZ2/0400000US06.86100F" xr:uid="{8C61D9DD-ED43-44FD-86C7-FBC09AA1CE62}"/>
    <hyperlink ref="J91" r:id="rId72" display="https://factfinder.census.gov/bkmk/table/1.0/en/BP/2014/00CZ2/0400000US06.86100F" xr:uid="{B8B17D3B-9A7F-48D5-ACB3-938D8C9C763E}"/>
    <hyperlink ref="J92" r:id="rId73" display="https://factfinder.census.gov/bkmk/table/1.0/en/BP/2014/00CZ2/0400000US06.86100F" xr:uid="{CEAA8CE8-BCAB-455D-A63A-280C331D5555}"/>
    <hyperlink ref="J93" r:id="rId74" display="https://factfinder.census.gov/bkmk/table/1.0/en/BP/2014/00CZ2/0400000US06.86100F" xr:uid="{61859333-B7D1-43C5-A846-A0CA22C51C52}"/>
    <hyperlink ref="J94" r:id="rId75" display="https://factfinder.census.gov/bkmk/table/1.0/en/BP/2014/00CZ2/0400000US06.86100F" xr:uid="{00167832-6CC2-4022-B7A2-82F43C46D134}"/>
    <hyperlink ref="J95" r:id="rId76" display="https://factfinder.census.gov/bkmk/table/1.0/en/BP/2014/00CZ2/0400000US06.86100F" xr:uid="{4EF8395A-B6AC-480E-ACA9-A22333ABE09E}"/>
    <hyperlink ref="J40" r:id="rId77" display="https://ec.europa.eu/eurostat/web/nuts/local-administrative-units,https://ec.europa.eu/eurostat/web/gisco/geodata/reference-data/administrative-units-statistical-units/nuts" xr:uid="{7724FBB4-29AA-4A2A-87A1-5E7F7AD4A5EF}"/>
    <hyperlink ref="J86" r:id="rId78" xr:uid="{710FA790-EE27-4DD3-A92E-1CC5D231BC49}"/>
    <hyperlink ref="G6" r:id="rId79" display="https://urbanaccessregulations.eu/" xr:uid="{009B7BD5-CBF4-4B7B-8705-0A8A91EA6A63}"/>
    <hyperlink ref="J6" r:id="rId80" xr:uid="{2FD0F392-DCEA-43AC-9A9F-08E9D5926EDD}"/>
    <hyperlink ref="J48" r:id="rId81" xr:uid="{33806BCB-09A4-435F-BFF2-FCDA77E4C3EA}"/>
    <hyperlink ref="N54" r:id="rId82" xr:uid="{6476B6E1-9E60-45E5-8D17-DC09E99A0064}"/>
    <hyperlink ref="J101" r:id="rId83" xr:uid="{3516C1F6-2B65-46EE-A6C7-8CB7C571C881}"/>
    <hyperlink ref="J51" r:id="rId84" xr:uid="{6C2BD377-5F56-43B5-B2B1-AEC400547C5A}"/>
    <hyperlink ref="J50" r:id="rId85" location="tab-figures-produced" display="https://www.eea.europa.eu/data-and-maps/data/aqereporting-8 - tab-figures-produced" xr:uid="{84883E89-0AD1-470D-9694-D5A49405C33C}"/>
    <hyperlink ref="J104" r:id="rId86" xr:uid="{D92281F0-9D25-45E4-A910-AC6A7EB3077F}"/>
    <hyperlink ref="J105" r:id="rId87" xr:uid="{F46202C3-57A3-407F-95F9-3B337DFFE987}"/>
    <hyperlink ref="J106" r:id="rId88" xr:uid="{766E5976-DF41-42F3-9726-0A24C5558311}"/>
    <hyperlink ref="J107" r:id="rId89" display="https://maps.london.gov.uk/ima/" xr:uid="{856DB1BF-B07C-4F6F-BE25-A26D3A0F928A}"/>
    <hyperlink ref="N101" r:id="rId90" display="https://wiki.openstreetmap.org/wiki/Tag:boundary=low emission zone?uselang=es" xr:uid="{08F316F9-382F-44CD-BD8A-F94CAECA5C0E}"/>
    <hyperlink ref="G108" r:id="rId91" display="https://roadtraffic.dft.gov.uk/" xr:uid="{FABC1525-3A55-4632-888E-E8226D7300AC}"/>
    <hyperlink ref="J108" r:id="rId92" xr:uid="{7E04704F-A9CA-4234-A22D-61A501CCCE92}"/>
    <hyperlink ref="J57" r:id="rId93" xr:uid="{06266C16-AC2A-44AD-9C43-18E7C8D11B4B}"/>
    <hyperlink ref="J75" r:id="rId94" xr:uid="{C942B7C8-650C-4C4F-A2E6-DE3A791E05E3}"/>
    <hyperlink ref="J109" r:id="rId95" xr:uid="{B0180E7E-7A92-4E8D-B47A-B330A664DD38}"/>
    <hyperlink ref="J113" r:id="rId96" xr:uid="{423B84A1-BC4A-446E-B7CA-318D3C0D4616}"/>
    <hyperlink ref="J114" r:id="rId97" xr:uid="{CE053E69-A3E7-41A9-94B1-4D724108CF57}"/>
    <hyperlink ref="J45" r:id="rId98" xr:uid="{4F1FD20E-5FF6-4970-A3C7-0CDCAF2629D0}"/>
    <hyperlink ref="J115" r:id="rId99" xr:uid="{BE4B7394-FC4A-4038-805B-22D0BDB1C164}"/>
    <hyperlink ref="J118" r:id="rId100" xr:uid="{D00B5C21-746A-47A9-851C-97144C54FF85}"/>
    <hyperlink ref="J119" r:id="rId101" xr:uid="{92C3DD1E-C4F6-4606-ADE8-2E6DE46229C9}"/>
    <hyperlink ref="J121" r:id="rId102" xr:uid="{717C8D0F-3945-4CEE-A4B4-3482560A7E7B}"/>
    <hyperlink ref="J122" r:id="rId103" xr:uid="{66BB953A-5FC0-45E3-A2C3-DE8818152115}"/>
    <hyperlink ref="J123" r:id="rId104" xr:uid="{46F2A8EC-156F-4158-A192-7ED35C644465}"/>
    <hyperlink ref="B125" r:id="rId105" xr:uid="{1B40628A-B602-4895-95BC-124413C42EB2}"/>
    <hyperlink ref="B126" r:id="rId106" xr:uid="{5D946050-84AB-484A-AD32-ACEC5B9E29D6}"/>
    <hyperlink ref="J116" r:id="rId107" xr:uid="{4BEE64FB-6E4F-41EC-98AF-628C44BC7F9B}"/>
    <hyperlink ref="J120" r:id="rId108" display="https://www.kba.de/SiteGlobals/Forms/Suche/Statistik/Fahrzeuge/Fahrzeuge_Formular.html?nn=772208&amp;cl2Categories_Berichtsjahr=2009&amp;cl2Categories_Unterthema=umwelt+zulassungsbezirke_und_gemeinden&amp;resultsPerPage=15&amp;sortOrder=dateOfIssue_dt+desc%2C+title_sort+desc&amp;cl2Categories_Darstellungsart=download" xr:uid="{D6E0678A-D793-46BB-8970-DF5A642191DA}"/>
  </hyperlinks>
  <pageMargins left="0.7" right="0.7" top="0.75" bottom="0.75" header="0.3" footer="0.3"/>
  <pageSetup paperSize="9" orientation="portrait" r:id="rId109"/>
  <drawing r:id="rId1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F33C-FACD-439E-944C-66F109BA818A}">
  <dimension ref="B2:K8"/>
  <sheetViews>
    <sheetView workbookViewId="0">
      <selection activeCell="F7" sqref="F7"/>
    </sheetView>
  </sheetViews>
  <sheetFormatPr defaultRowHeight="14.5" x14ac:dyDescent="0.35"/>
  <sheetData>
    <row r="2" spans="2:11" x14ac:dyDescent="0.35">
      <c r="B2" t="s">
        <v>184</v>
      </c>
    </row>
    <row r="3" spans="2:11" x14ac:dyDescent="0.35">
      <c r="B3" t="s">
        <v>185</v>
      </c>
    </row>
    <row r="4" spans="2:11" x14ac:dyDescent="0.35">
      <c r="B4" t="s">
        <v>186</v>
      </c>
    </row>
    <row r="5" spans="2:11" x14ac:dyDescent="0.35">
      <c r="B5" t="s">
        <v>187</v>
      </c>
      <c r="I5" s="1" t="s">
        <v>188</v>
      </c>
    </row>
    <row r="6" spans="2:11" x14ac:dyDescent="0.35">
      <c r="B6" t="s">
        <v>252</v>
      </c>
      <c r="K6" t="s">
        <v>253</v>
      </c>
    </row>
    <row r="7" spans="2:11" x14ac:dyDescent="0.35">
      <c r="B7" t="s">
        <v>508</v>
      </c>
      <c r="F7" s="1" t="s">
        <v>509</v>
      </c>
    </row>
    <row r="8" spans="2:11" x14ac:dyDescent="0.35">
      <c r="B8" t="s">
        <v>513</v>
      </c>
      <c r="G8" s="1" t="s">
        <v>514</v>
      </c>
    </row>
  </sheetData>
  <hyperlinks>
    <hyperlink ref="I5" r:id="rId1" xr:uid="{6725C445-DCB8-4EDF-B4DC-605772B467A2}"/>
    <hyperlink ref="F7" r:id="rId2" xr:uid="{5FCAAF2E-0799-4A1F-90B7-62D67154435A}"/>
    <hyperlink ref="G8" r:id="rId3" xr:uid="{1F6C58C9-8E85-479E-9F3A-D982B2F2BF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EA39-0E5E-4CC7-A99C-DAA00D2EF189}">
  <dimension ref="A1:M93"/>
  <sheetViews>
    <sheetView topLeftCell="A67" workbookViewId="0">
      <selection activeCell="Z12" sqref="Z12"/>
    </sheetView>
  </sheetViews>
  <sheetFormatPr defaultRowHeight="14.5" x14ac:dyDescent="0.35"/>
  <cols>
    <col min="2" max="2" width="17.1796875" bestFit="1" customWidth="1"/>
    <col min="3" max="4" width="11.1796875" bestFit="1" customWidth="1"/>
    <col min="5" max="5" width="8.6328125" bestFit="1" customWidth="1"/>
    <col min="6" max="6" width="15.08984375" bestFit="1" customWidth="1"/>
    <col min="7" max="7" width="11.6328125" bestFit="1" customWidth="1"/>
    <col min="11" max="11" width="18" customWidth="1"/>
    <col min="13" max="13" width="9.81640625" customWidth="1"/>
    <col min="14" max="14" width="17.36328125" customWidth="1"/>
    <col min="21" max="21" width="13.81640625" customWidth="1"/>
    <col min="22" max="22" width="12.7265625" customWidth="1"/>
    <col min="23" max="23" width="14.26953125" customWidth="1"/>
    <col min="24" max="24" width="12.90625" customWidth="1"/>
  </cols>
  <sheetData>
    <row r="1" spans="1:13" x14ac:dyDescent="0.35">
      <c r="A1" t="s">
        <v>196</v>
      </c>
      <c r="B1" t="s">
        <v>197</v>
      </c>
      <c r="C1" t="s">
        <v>3</v>
      </c>
      <c r="D1" t="s">
        <v>198</v>
      </c>
      <c r="E1" t="s">
        <v>199</v>
      </c>
      <c r="F1" t="s">
        <v>200</v>
      </c>
      <c r="G1" t="s">
        <v>247</v>
      </c>
      <c r="H1" t="s">
        <v>456</v>
      </c>
      <c r="I1" t="s">
        <v>453</v>
      </c>
      <c r="K1" t="s">
        <v>245</v>
      </c>
    </row>
    <row r="2" spans="1:13" x14ac:dyDescent="0.35">
      <c r="A2" t="s">
        <v>201</v>
      </c>
      <c r="B2" t="s">
        <v>202</v>
      </c>
      <c r="C2" s="7">
        <v>39448</v>
      </c>
      <c r="D2" s="7">
        <v>39448</v>
      </c>
      <c r="E2" s="7">
        <v>40179</v>
      </c>
      <c r="F2" s="7">
        <v>40179</v>
      </c>
      <c r="G2" s="7">
        <v>41244</v>
      </c>
      <c r="H2" s="10"/>
      <c r="I2" t="s">
        <v>411</v>
      </c>
      <c r="J2" s="1" t="s">
        <v>415</v>
      </c>
      <c r="K2" t="s">
        <v>246</v>
      </c>
    </row>
    <row r="3" spans="1:13" x14ac:dyDescent="0.35">
      <c r="A3" t="s">
        <v>201</v>
      </c>
      <c r="B3" t="s">
        <v>203</v>
      </c>
      <c r="C3" s="7">
        <v>39448</v>
      </c>
      <c r="D3" s="7">
        <v>39448</v>
      </c>
      <c r="E3" s="7">
        <v>39814</v>
      </c>
      <c r="F3" s="7">
        <v>40179</v>
      </c>
      <c r="G3" s="7">
        <v>41244</v>
      </c>
      <c r="H3" s="10"/>
      <c r="I3" t="s">
        <v>411</v>
      </c>
    </row>
    <row r="4" spans="1:13" x14ac:dyDescent="0.35">
      <c r="A4" t="s">
        <v>201</v>
      </c>
      <c r="B4" t="s">
        <v>204</v>
      </c>
      <c r="C4" s="7">
        <v>39448</v>
      </c>
      <c r="D4" s="7">
        <v>39448</v>
      </c>
      <c r="E4" s="7">
        <v>40179</v>
      </c>
      <c r="G4" s="7">
        <v>41244</v>
      </c>
      <c r="H4" s="9">
        <v>3</v>
      </c>
      <c r="I4" t="s">
        <v>411</v>
      </c>
      <c r="J4" s="1" t="s">
        <v>414</v>
      </c>
    </row>
    <row r="5" spans="1:13" x14ac:dyDescent="0.35">
      <c r="A5" t="s">
        <v>201</v>
      </c>
      <c r="B5" t="s">
        <v>205</v>
      </c>
      <c r="C5" s="7">
        <v>39479</v>
      </c>
      <c r="D5" s="7">
        <v>39479</v>
      </c>
      <c r="E5" s="7">
        <v>39479</v>
      </c>
      <c r="G5" s="7">
        <v>41244</v>
      </c>
      <c r="H5" s="9"/>
      <c r="I5" t="s">
        <v>411</v>
      </c>
    </row>
    <row r="6" spans="1:13" x14ac:dyDescent="0.35">
      <c r="A6" t="s">
        <v>201</v>
      </c>
      <c r="B6" t="s">
        <v>206</v>
      </c>
      <c r="C6" s="7">
        <v>39479</v>
      </c>
      <c r="D6" s="7">
        <v>39479</v>
      </c>
      <c r="E6" s="7">
        <v>39479</v>
      </c>
      <c r="G6" s="7">
        <v>41244</v>
      </c>
      <c r="H6" s="9"/>
      <c r="I6" t="s">
        <v>411</v>
      </c>
    </row>
    <row r="7" spans="1:13" x14ac:dyDescent="0.35">
      <c r="A7" t="s">
        <v>201</v>
      </c>
      <c r="B7" t="s">
        <v>207</v>
      </c>
      <c r="C7" s="7">
        <v>39508</v>
      </c>
      <c r="D7" s="7">
        <v>39508</v>
      </c>
      <c r="E7" s="7">
        <v>40909</v>
      </c>
      <c r="G7" s="7">
        <v>41244</v>
      </c>
      <c r="H7" s="9"/>
      <c r="I7" t="s">
        <v>411</v>
      </c>
      <c r="K7" t="s">
        <v>251</v>
      </c>
    </row>
    <row r="8" spans="1:13" x14ac:dyDescent="0.35">
      <c r="A8" t="s">
        <v>201</v>
      </c>
      <c r="B8" t="s">
        <v>208</v>
      </c>
      <c r="C8" s="7">
        <v>39508</v>
      </c>
      <c r="D8" s="7">
        <v>39508</v>
      </c>
      <c r="E8" s="7">
        <v>40909</v>
      </c>
      <c r="G8" s="7">
        <v>41244</v>
      </c>
      <c r="H8" s="9"/>
      <c r="I8" t="s">
        <v>411</v>
      </c>
      <c r="K8" s="1" t="s">
        <v>250</v>
      </c>
    </row>
    <row r="9" spans="1:13" x14ac:dyDescent="0.35">
      <c r="A9" t="s">
        <v>201</v>
      </c>
      <c r="B9" t="s">
        <v>209</v>
      </c>
      <c r="C9" s="7">
        <v>39508</v>
      </c>
      <c r="D9" s="7">
        <v>39508</v>
      </c>
      <c r="E9" s="7">
        <v>40909</v>
      </c>
      <c r="G9" s="7">
        <v>41244</v>
      </c>
      <c r="H9" s="9"/>
      <c r="I9" t="s">
        <v>411</v>
      </c>
      <c r="K9" s="1" t="s">
        <v>416</v>
      </c>
    </row>
    <row r="10" spans="1:13" x14ac:dyDescent="0.35">
      <c r="A10" t="s">
        <v>201</v>
      </c>
      <c r="B10" t="s">
        <v>210</v>
      </c>
      <c r="C10" s="7">
        <v>39508</v>
      </c>
      <c r="D10" s="7">
        <v>39508</v>
      </c>
      <c r="E10" s="7">
        <v>40909</v>
      </c>
      <c r="G10" s="7">
        <v>41244</v>
      </c>
      <c r="H10" s="9"/>
      <c r="I10" t="s">
        <v>411</v>
      </c>
      <c r="K10" t="s">
        <v>417</v>
      </c>
    </row>
    <row r="11" spans="1:13" x14ac:dyDescent="0.35">
      <c r="A11" t="s">
        <v>201</v>
      </c>
      <c r="B11" t="s">
        <v>211</v>
      </c>
      <c r="C11" s="7">
        <v>39508</v>
      </c>
      <c r="D11" s="7">
        <v>39508</v>
      </c>
      <c r="E11" s="7">
        <v>40909</v>
      </c>
      <c r="G11" s="7">
        <v>41244</v>
      </c>
      <c r="H11" s="9"/>
      <c r="I11" t="s">
        <v>411</v>
      </c>
      <c r="K11" s="1" t="s">
        <v>419</v>
      </c>
    </row>
    <row r="12" spans="1:13" x14ac:dyDescent="0.35">
      <c r="A12" t="s">
        <v>201</v>
      </c>
      <c r="B12" t="s">
        <v>212</v>
      </c>
      <c r="C12" s="7">
        <v>39508</v>
      </c>
      <c r="D12" s="7">
        <v>39508</v>
      </c>
      <c r="E12" s="7">
        <v>40909</v>
      </c>
      <c r="G12" s="7">
        <v>41244</v>
      </c>
      <c r="H12" s="9"/>
      <c r="I12" t="s">
        <v>411</v>
      </c>
    </row>
    <row r="13" spans="1:13" x14ac:dyDescent="0.35">
      <c r="A13" t="s">
        <v>201</v>
      </c>
      <c r="B13" t="s">
        <v>213</v>
      </c>
      <c r="C13" s="7">
        <v>39508</v>
      </c>
      <c r="D13" s="7">
        <v>39508</v>
      </c>
      <c r="E13" s="7">
        <v>40909</v>
      </c>
      <c r="G13" s="7">
        <v>41244</v>
      </c>
      <c r="H13" s="9">
        <v>3</v>
      </c>
      <c r="I13" t="s">
        <v>411</v>
      </c>
      <c r="K13" s="1" t="s">
        <v>496</v>
      </c>
    </row>
    <row r="14" spans="1:13" x14ac:dyDescent="0.35">
      <c r="A14" t="s">
        <v>201</v>
      </c>
      <c r="B14" t="s">
        <v>214</v>
      </c>
      <c r="C14" s="7">
        <v>39508</v>
      </c>
      <c r="D14" s="7">
        <v>39508</v>
      </c>
      <c r="E14" s="7">
        <v>40909</v>
      </c>
      <c r="G14" s="7">
        <v>41244</v>
      </c>
      <c r="H14" s="9"/>
      <c r="I14" t="s">
        <v>411</v>
      </c>
      <c r="K14" t="s">
        <v>491</v>
      </c>
    </row>
    <row r="15" spans="1:13" x14ac:dyDescent="0.35">
      <c r="A15" t="s">
        <v>201</v>
      </c>
      <c r="B15" t="s">
        <v>215</v>
      </c>
      <c r="C15" s="7">
        <v>39630</v>
      </c>
      <c r="D15" s="7">
        <v>39630</v>
      </c>
      <c r="E15" s="7">
        <v>40909</v>
      </c>
      <c r="G15" s="7">
        <v>41244</v>
      </c>
      <c r="H15" s="9"/>
      <c r="I15" t="s">
        <v>411</v>
      </c>
      <c r="J15" t="s">
        <v>436</v>
      </c>
    </row>
    <row r="16" spans="1:13" x14ac:dyDescent="0.35">
      <c r="A16" t="s">
        <v>201</v>
      </c>
      <c r="B16" t="s">
        <v>216</v>
      </c>
      <c r="C16" s="7">
        <v>39722</v>
      </c>
      <c r="D16" s="7">
        <v>39722</v>
      </c>
      <c r="E16" s="7">
        <v>40544</v>
      </c>
      <c r="F16" s="7">
        <v>40544</v>
      </c>
      <c r="G16" s="7">
        <v>41244</v>
      </c>
      <c r="H16" s="9"/>
      <c r="I16" t="s">
        <v>411</v>
      </c>
      <c r="K16" s="1" t="s">
        <v>492</v>
      </c>
      <c r="M16" s="7"/>
    </row>
    <row r="17" spans="1:13" x14ac:dyDescent="0.35">
      <c r="A17" t="s">
        <v>201</v>
      </c>
      <c r="B17" t="s">
        <v>217</v>
      </c>
      <c r="C17" s="7">
        <v>39722</v>
      </c>
      <c r="D17" s="7">
        <v>39722</v>
      </c>
      <c r="E17" s="7">
        <v>40544</v>
      </c>
      <c r="F17" s="7">
        <v>40544</v>
      </c>
      <c r="G17" s="7">
        <v>41244</v>
      </c>
      <c r="H17" s="9"/>
      <c r="I17" t="s">
        <v>411</v>
      </c>
      <c r="K17" s="1" t="s">
        <v>493</v>
      </c>
      <c r="M17" s="7"/>
    </row>
    <row r="18" spans="1:13" x14ac:dyDescent="0.35">
      <c r="A18" t="s">
        <v>201</v>
      </c>
      <c r="B18" t="s">
        <v>205</v>
      </c>
      <c r="C18" s="7">
        <v>39722</v>
      </c>
      <c r="D18" s="7">
        <v>39722</v>
      </c>
      <c r="E18" s="7">
        <v>40544</v>
      </c>
      <c r="G18" s="7">
        <v>41244</v>
      </c>
      <c r="H18" s="9"/>
      <c r="I18" t="s">
        <v>411</v>
      </c>
      <c r="K18" s="1" t="s">
        <v>494</v>
      </c>
      <c r="M18" s="7"/>
    </row>
    <row r="19" spans="1:13" x14ac:dyDescent="0.35">
      <c r="A19" t="s">
        <v>201</v>
      </c>
      <c r="B19" t="s">
        <v>218</v>
      </c>
      <c r="C19" s="7">
        <v>39722</v>
      </c>
      <c r="D19" s="7">
        <v>39722</v>
      </c>
      <c r="E19" s="7">
        <v>40544</v>
      </c>
      <c r="F19" s="7">
        <v>40544</v>
      </c>
      <c r="G19" s="7">
        <v>41244</v>
      </c>
      <c r="H19" s="9"/>
      <c r="I19" t="s">
        <v>411</v>
      </c>
      <c r="K19" t="s">
        <v>495</v>
      </c>
      <c r="L19" s="1" t="s">
        <v>498</v>
      </c>
    </row>
    <row r="20" spans="1:13" x14ac:dyDescent="0.35">
      <c r="A20" t="s">
        <v>201</v>
      </c>
      <c r="B20" t="s">
        <v>219</v>
      </c>
      <c r="C20" s="7">
        <v>39722</v>
      </c>
      <c r="D20" s="7">
        <v>39722</v>
      </c>
      <c r="E20" s="7">
        <v>40544</v>
      </c>
      <c r="F20" s="7"/>
      <c r="G20" s="7">
        <v>41244</v>
      </c>
      <c r="H20" s="9"/>
      <c r="I20" t="s">
        <v>411</v>
      </c>
      <c r="M20" s="7"/>
    </row>
    <row r="21" spans="1:13" x14ac:dyDescent="0.35">
      <c r="A21" t="s">
        <v>201</v>
      </c>
      <c r="B21" t="s">
        <v>220</v>
      </c>
      <c r="C21" s="7">
        <v>39722</v>
      </c>
      <c r="D21" s="7">
        <v>39722</v>
      </c>
      <c r="E21" s="7">
        <v>40179</v>
      </c>
      <c r="F21" s="7">
        <v>40909</v>
      </c>
      <c r="G21" s="7">
        <v>41244</v>
      </c>
      <c r="H21" s="9"/>
      <c r="I21" t="s">
        <v>411</v>
      </c>
      <c r="M21" s="7"/>
    </row>
    <row r="22" spans="1:13" x14ac:dyDescent="0.35">
      <c r="A22" t="s">
        <v>201</v>
      </c>
      <c r="B22" t="s">
        <v>221</v>
      </c>
      <c r="C22" s="7">
        <v>39722</v>
      </c>
      <c r="D22" s="7">
        <v>39722</v>
      </c>
      <c r="E22" s="7">
        <v>40544</v>
      </c>
      <c r="F22" s="7">
        <v>40544</v>
      </c>
      <c r="G22" s="7">
        <v>41244</v>
      </c>
      <c r="H22" s="9"/>
      <c r="I22" t="s">
        <v>411</v>
      </c>
    </row>
    <row r="23" spans="1:13" x14ac:dyDescent="0.35">
      <c r="A23" t="s">
        <v>201</v>
      </c>
      <c r="B23" t="s">
        <v>222</v>
      </c>
      <c r="C23" s="7">
        <v>39722</v>
      </c>
      <c r="D23" s="7">
        <v>39722</v>
      </c>
      <c r="E23" s="7">
        <v>40544</v>
      </c>
      <c r="F23" s="7">
        <v>40544</v>
      </c>
      <c r="G23" s="7">
        <v>41244</v>
      </c>
      <c r="H23" s="9"/>
      <c r="I23" t="s">
        <v>411</v>
      </c>
    </row>
    <row r="24" spans="1:13" x14ac:dyDescent="0.35">
      <c r="A24" t="s">
        <v>201</v>
      </c>
      <c r="B24" t="s">
        <v>223</v>
      </c>
      <c r="C24" s="7">
        <v>39722</v>
      </c>
      <c r="D24" s="7">
        <v>39722</v>
      </c>
      <c r="E24" s="7">
        <v>40179</v>
      </c>
      <c r="G24" s="7">
        <v>41244</v>
      </c>
      <c r="H24" s="9"/>
      <c r="I24" t="s">
        <v>411</v>
      </c>
    </row>
    <row r="25" spans="1:13" x14ac:dyDescent="0.35">
      <c r="A25" t="s">
        <v>201</v>
      </c>
      <c r="B25" t="s">
        <v>224</v>
      </c>
      <c r="C25" s="7">
        <v>39722</v>
      </c>
      <c r="D25" s="7">
        <v>39722</v>
      </c>
      <c r="E25" s="7">
        <v>40544</v>
      </c>
      <c r="F25" s="7">
        <v>40544</v>
      </c>
      <c r="G25" s="7">
        <v>41244</v>
      </c>
      <c r="H25" s="9"/>
      <c r="I25" t="s">
        <v>411</v>
      </c>
    </row>
    <row r="26" spans="1:13" x14ac:dyDescent="0.35">
      <c r="A26" t="s">
        <v>201</v>
      </c>
      <c r="B26" t="s">
        <v>225</v>
      </c>
      <c r="C26" s="7">
        <v>39722</v>
      </c>
      <c r="D26" s="7">
        <v>39722</v>
      </c>
      <c r="G26" s="7">
        <v>41244</v>
      </c>
      <c r="H26" s="9"/>
      <c r="I26" t="s">
        <v>411</v>
      </c>
      <c r="M26" s="7"/>
    </row>
    <row r="27" spans="1:13" x14ac:dyDescent="0.35">
      <c r="A27" t="s">
        <v>201</v>
      </c>
      <c r="B27" t="s">
        <v>226</v>
      </c>
      <c r="C27" s="7">
        <v>39814</v>
      </c>
      <c r="D27" s="7">
        <v>39814</v>
      </c>
      <c r="E27" s="7">
        <v>40179</v>
      </c>
      <c r="G27" s="7">
        <v>41244</v>
      </c>
      <c r="H27" s="9"/>
      <c r="I27" t="s">
        <v>411</v>
      </c>
    </row>
    <row r="28" spans="1:13" x14ac:dyDescent="0.35">
      <c r="A28" t="s">
        <v>201</v>
      </c>
      <c r="B28" t="s">
        <v>227</v>
      </c>
      <c r="C28" s="7">
        <v>39814</v>
      </c>
      <c r="D28" s="7">
        <v>39814</v>
      </c>
      <c r="E28" s="7">
        <v>40909</v>
      </c>
      <c r="G28" s="7">
        <v>41244</v>
      </c>
      <c r="H28" s="9"/>
      <c r="I28" t="s">
        <v>411</v>
      </c>
      <c r="M28" s="7"/>
    </row>
    <row r="29" spans="1:13" x14ac:dyDescent="0.35">
      <c r="A29" t="s">
        <v>201</v>
      </c>
      <c r="B29" t="s">
        <v>228</v>
      </c>
      <c r="C29" s="7">
        <v>39814</v>
      </c>
      <c r="D29" s="7">
        <v>39814</v>
      </c>
      <c r="E29" s="7">
        <v>40909</v>
      </c>
      <c r="G29" s="7">
        <v>41244</v>
      </c>
      <c r="H29" s="9"/>
      <c r="I29" t="s">
        <v>411</v>
      </c>
    </row>
    <row r="30" spans="1:13" x14ac:dyDescent="0.35">
      <c r="A30" t="s">
        <v>201</v>
      </c>
      <c r="B30" t="s">
        <v>229</v>
      </c>
      <c r="C30" s="7">
        <v>39814</v>
      </c>
      <c r="D30" s="7">
        <v>39814</v>
      </c>
      <c r="E30" s="7">
        <v>40909</v>
      </c>
      <c r="G30" s="7">
        <v>41244</v>
      </c>
      <c r="H30" s="9"/>
      <c r="I30" t="s">
        <v>411</v>
      </c>
    </row>
    <row r="31" spans="1:13" x14ac:dyDescent="0.35">
      <c r="A31" t="s">
        <v>201</v>
      </c>
      <c r="B31" t="s">
        <v>230</v>
      </c>
      <c r="C31" s="7">
        <v>39814</v>
      </c>
      <c r="D31" s="7">
        <v>39814</v>
      </c>
      <c r="E31" s="7">
        <v>40909</v>
      </c>
      <c r="G31" s="7">
        <v>41244</v>
      </c>
      <c r="H31" s="9"/>
      <c r="I31" t="s">
        <v>411</v>
      </c>
    </row>
    <row r="32" spans="1:13" x14ac:dyDescent="0.35">
      <c r="A32" t="s">
        <v>201</v>
      </c>
      <c r="B32" t="s">
        <v>231</v>
      </c>
      <c r="C32" s="7">
        <v>39814</v>
      </c>
      <c r="D32" s="7">
        <v>39814</v>
      </c>
      <c r="E32" s="7">
        <v>40909</v>
      </c>
      <c r="G32" s="7">
        <v>41244</v>
      </c>
      <c r="H32" s="9"/>
      <c r="I32" t="s">
        <v>411</v>
      </c>
    </row>
    <row r="33" spans="1:10" x14ac:dyDescent="0.35">
      <c r="A33" t="s">
        <v>201</v>
      </c>
      <c r="B33" t="s">
        <v>232</v>
      </c>
      <c r="C33" s="7">
        <v>39814</v>
      </c>
      <c r="D33" s="7">
        <v>39814</v>
      </c>
      <c r="E33" s="7">
        <v>40909</v>
      </c>
      <c r="G33" s="7">
        <v>41244</v>
      </c>
      <c r="H33" s="9"/>
      <c r="I33" t="s">
        <v>411</v>
      </c>
    </row>
    <row r="34" spans="1:10" x14ac:dyDescent="0.35">
      <c r="A34" t="s">
        <v>201</v>
      </c>
      <c r="B34" t="s">
        <v>233</v>
      </c>
      <c r="C34" s="7">
        <v>39845</v>
      </c>
      <c r="D34" s="7">
        <v>39845</v>
      </c>
      <c r="E34" s="7">
        <v>40544</v>
      </c>
      <c r="G34" s="7">
        <v>41244</v>
      </c>
      <c r="H34" s="9"/>
      <c r="I34" t="s">
        <v>411</v>
      </c>
    </row>
    <row r="35" spans="1:10" x14ac:dyDescent="0.35">
      <c r="A35" t="s">
        <v>201</v>
      </c>
      <c r="B35" t="s">
        <v>234</v>
      </c>
      <c r="C35" s="7">
        <v>39845</v>
      </c>
      <c r="D35" s="7">
        <v>39845</v>
      </c>
      <c r="E35" s="7">
        <v>40544</v>
      </c>
      <c r="G35" s="7">
        <v>41244</v>
      </c>
      <c r="H35" s="9"/>
      <c r="I35" t="s">
        <v>411</v>
      </c>
      <c r="J35" s="1" t="s">
        <v>418</v>
      </c>
    </row>
    <row r="36" spans="1:10" x14ac:dyDescent="0.35">
      <c r="A36" t="s">
        <v>201</v>
      </c>
      <c r="B36" t="s">
        <v>235</v>
      </c>
      <c r="C36" s="7">
        <v>39995</v>
      </c>
      <c r="D36" s="7">
        <v>39995</v>
      </c>
      <c r="E36" s="7">
        <v>40179</v>
      </c>
      <c r="G36" s="7">
        <v>41244</v>
      </c>
      <c r="H36" s="9"/>
      <c r="I36" t="s">
        <v>411</v>
      </c>
    </row>
    <row r="37" spans="1:10" x14ac:dyDescent="0.35">
      <c r="A37" t="s">
        <v>201</v>
      </c>
      <c r="B37" t="s">
        <v>236</v>
      </c>
      <c r="C37" s="7">
        <v>40118</v>
      </c>
      <c r="D37" s="7">
        <v>40118</v>
      </c>
      <c r="G37" s="7">
        <v>41244</v>
      </c>
      <c r="H37" s="9"/>
      <c r="I37" t="s">
        <v>411</v>
      </c>
    </row>
    <row r="38" spans="1:10" x14ac:dyDescent="0.35">
      <c r="A38" t="s">
        <v>201</v>
      </c>
      <c r="B38" t="s">
        <v>237</v>
      </c>
      <c r="C38" s="7">
        <v>40179</v>
      </c>
      <c r="D38" s="7">
        <v>40179</v>
      </c>
      <c r="E38" s="7">
        <v>40725</v>
      </c>
      <c r="G38" s="7">
        <v>41244</v>
      </c>
      <c r="H38" s="9"/>
      <c r="I38" t="s">
        <v>411</v>
      </c>
    </row>
    <row r="39" spans="1:10" x14ac:dyDescent="0.35">
      <c r="A39" t="s">
        <v>201</v>
      </c>
      <c r="B39" t="s">
        <v>238</v>
      </c>
      <c r="C39" s="7">
        <v>40179</v>
      </c>
      <c r="D39" s="7">
        <v>40179</v>
      </c>
      <c r="G39" s="7">
        <v>41244</v>
      </c>
      <c r="H39" s="9"/>
      <c r="I39" t="s">
        <v>411</v>
      </c>
    </row>
    <row r="40" spans="1:10" x14ac:dyDescent="0.35">
      <c r="A40" t="s">
        <v>201</v>
      </c>
      <c r="B40" t="s">
        <v>239</v>
      </c>
      <c r="C40" s="7">
        <v>40179</v>
      </c>
      <c r="D40" s="7">
        <v>40179</v>
      </c>
      <c r="G40" s="7">
        <v>41244</v>
      </c>
      <c r="H40" s="9"/>
      <c r="I40" t="s">
        <v>411</v>
      </c>
    </row>
    <row r="41" spans="1:10" x14ac:dyDescent="0.35">
      <c r="A41" t="s">
        <v>201</v>
      </c>
      <c r="B41" t="s">
        <v>240</v>
      </c>
      <c r="C41" s="7">
        <v>40179</v>
      </c>
      <c r="D41" s="7">
        <v>40179</v>
      </c>
      <c r="E41" s="7">
        <v>40179</v>
      </c>
      <c r="G41" s="7">
        <v>41244</v>
      </c>
      <c r="H41" s="9"/>
      <c r="I41" t="s">
        <v>411</v>
      </c>
    </row>
    <row r="42" spans="1:10" x14ac:dyDescent="0.35">
      <c r="A42" t="s">
        <v>201</v>
      </c>
      <c r="B42" t="s">
        <v>241</v>
      </c>
      <c r="C42" s="7">
        <v>40179</v>
      </c>
      <c r="D42" s="7">
        <v>40179</v>
      </c>
      <c r="E42" s="7">
        <v>40544</v>
      </c>
      <c r="G42" s="7">
        <v>41244</v>
      </c>
      <c r="H42" s="9"/>
      <c r="I42" t="s">
        <v>411</v>
      </c>
    </row>
    <row r="43" spans="1:10" x14ac:dyDescent="0.35">
      <c r="A43" t="s">
        <v>201</v>
      </c>
      <c r="B43" t="s">
        <v>242</v>
      </c>
      <c r="C43" s="7">
        <v>40179</v>
      </c>
      <c r="D43" s="7">
        <v>40179</v>
      </c>
      <c r="G43" s="7">
        <v>41244</v>
      </c>
      <c r="H43" s="9"/>
      <c r="I43" t="s">
        <v>411</v>
      </c>
    </row>
    <row r="44" spans="1:10" x14ac:dyDescent="0.35">
      <c r="A44" t="s">
        <v>201</v>
      </c>
      <c r="B44" t="s">
        <v>243</v>
      </c>
      <c r="C44" s="7">
        <v>40544</v>
      </c>
      <c r="D44" s="7">
        <v>40544</v>
      </c>
      <c r="G44" s="7">
        <v>41244</v>
      </c>
      <c r="H44" s="9"/>
      <c r="I44" t="s">
        <v>411</v>
      </c>
    </row>
    <row r="45" spans="1:10" x14ac:dyDescent="0.35">
      <c r="A45" t="s">
        <v>201</v>
      </c>
      <c r="B45" t="s">
        <v>244</v>
      </c>
      <c r="C45" s="7">
        <v>40544</v>
      </c>
      <c r="D45" s="7">
        <v>40544</v>
      </c>
      <c r="G45" s="7">
        <v>41244</v>
      </c>
      <c r="H45" s="9"/>
      <c r="I45" t="s">
        <v>411</v>
      </c>
    </row>
    <row r="46" spans="1:10" x14ac:dyDescent="0.35">
      <c r="A46" t="s">
        <v>201</v>
      </c>
      <c r="B46" s="12" t="s">
        <v>438</v>
      </c>
      <c r="C46" s="11">
        <v>40909</v>
      </c>
      <c r="I46" t="s">
        <v>411</v>
      </c>
    </row>
    <row r="47" spans="1:10" x14ac:dyDescent="0.35">
      <c r="A47" t="s">
        <v>201</v>
      </c>
      <c r="B47" s="12" t="s">
        <v>440</v>
      </c>
      <c r="C47" s="11"/>
      <c r="I47" t="s">
        <v>411</v>
      </c>
    </row>
    <row r="48" spans="1:10" x14ac:dyDescent="0.35">
      <c r="B48" s="13"/>
      <c r="C48" s="14"/>
      <c r="I48" t="s">
        <v>411</v>
      </c>
    </row>
    <row r="49" spans="1:9" x14ac:dyDescent="0.35">
      <c r="B49" t="s">
        <v>197</v>
      </c>
      <c r="C49" t="s">
        <v>421</v>
      </c>
      <c r="F49" t="s">
        <v>420</v>
      </c>
      <c r="I49" t="s">
        <v>411</v>
      </c>
    </row>
    <row r="50" spans="1:9" x14ac:dyDescent="0.35">
      <c r="A50" t="s">
        <v>454</v>
      </c>
      <c r="B50" t="s">
        <v>422</v>
      </c>
      <c r="C50" s="7">
        <v>42767</v>
      </c>
      <c r="I50" t="s">
        <v>411</v>
      </c>
    </row>
    <row r="51" spans="1:9" x14ac:dyDescent="0.35">
      <c r="A51" t="s">
        <v>454</v>
      </c>
      <c r="B51" t="s">
        <v>423</v>
      </c>
      <c r="C51" s="7">
        <v>43101</v>
      </c>
      <c r="F51" t="s">
        <v>424</v>
      </c>
      <c r="I51" t="s">
        <v>411</v>
      </c>
    </row>
    <row r="52" spans="1:9" x14ac:dyDescent="0.35">
      <c r="B52" t="s">
        <v>425</v>
      </c>
      <c r="I52" t="s">
        <v>411</v>
      </c>
    </row>
    <row r="53" spans="1:9" x14ac:dyDescent="0.35">
      <c r="B53" t="s">
        <v>426</v>
      </c>
      <c r="F53" t="s">
        <v>427</v>
      </c>
      <c r="I53" t="s">
        <v>411</v>
      </c>
    </row>
    <row r="54" spans="1:9" x14ac:dyDescent="0.35">
      <c r="A54" t="s">
        <v>8</v>
      </c>
      <c r="B54" t="s">
        <v>428</v>
      </c>
      <c r="F54" t="s">
        <v>429</v>
      </c>
      <c r="I54" t="s">
        <v>411</v>
      </c>
    </row>
    <row r="55" spans="1:9" x14ac:dyDescent="0.35">
      <c r="A55" t="s">
        <v>455</v>
      </c>
      <c r="B55" t="s">
        <v>430</v>
      </c>
      <c r="I55" t="s">
        <v>411</v>
      </c>
    </row>
    <row r="56" spans="1:9" x14ac:dyDescent="0.35">
      <c r="A56" t="s">
        <v>455</v>
      </c>
      <c r="B56" t="s">
        <v>431</v>
      </c>
      <c r="F56" t="s">
        <v>432</v>
      </c>
      <c r="I56" t="s">
        <v>411</v>
      </c>
    </row>
    <row r="57" spans="1:9" x14ac:dyDescent="0.35">
      <c r="A57" t="s">
        <v>455</v>
      </c>
      <c r="B57" t="s">
        <v>433</v>
      </c>
      <c r="C57" s="7">
        <v>43586</v>
      </c>
      <c r="I57" t="s">
        <v>411</v>
      </c>
    </row>
    <row r="58" spans="1:9" x14ac:dyDescent="0.35">
      <c r="A58" t="s">
        <v>455</v>
      </c>
      <c r="B58" t="s">
        <v>434</v>
      </c>
      <c r="C58" s="7">
        <v>42705</v>
      </c>
      <c r="F58" t="s">
        <v>435</v>
      </c>
      <c r="I58" t="s">
        <v>411</v>
      </c>
    </row>
    <row r="59" spans="1:9" x14ac:dyDescent="0.35">
      <c r="A59" t="s">
        <v>457</v>
      </c>
      <c r="B59" t="s">
        <v>441</v>
      </c>
      <c r="C59" s="7">
        <v>43070</v>
      </c>
      <c r="F59" t="s">
        <v>442</v>
      </c>
      <c r="I59" t="s">
        <v>411</v>
      </c>
    </row>
    <row r="60" spans="1:9" x14ac:dyDescent="0.35">
      <c r="A60" t="s">
        <v>457</v>
      </c>
      <c r="B60" t="s">
        <v>443</v>
      </c>
      <c r="C60" s="7">
        <v>43374</v>
      </c>
      <c r="I60" t="s">
        <v>411</v>
      </c>
    </row>
    <row r="61" spans="1:9" x14ac:dyDescent="0.35">
      <c r="A61" t="s">
        <v>455</v>
      </c>
      <c r="B61" t="s">
        <v>444</v>
      </c>
      <c r="F61" t="s">
        <v>458</v>
      </c>
      <c r="I61" t="s">
        <v>411</v>
      </c>
    </row>
    <row r="62" spans="1:9" x14ac:dyDescent="0.35">
      <c r="A62" t="s">
        <v>455</v>
      </c>
      <c r="B62" t="s">
        <v>445</v>
      </c>
      <c r="C62" s="7">
        <v>43617</v>
      </c>
      <c r="F62" t="s">
        <v>459</v>
      </c>
      <c r="I62" t="s">
        <v>411</v>
      </c>
    </row>
    <row r="63" spans="1:9" x14ac:dyDescent="0.35">
      <c r="B63" t="s">
        <v>446</v>
      </c>
      <c r="C63" s="7">
        <v>43831</v>
      </c>
      <c r="F63" t="s">
        <v>460</v>
      </c>
      <c r="I63" t="s">
        <v>411</v>
      </c>
    </row>
    <row r="64" spans="1:9" x14ac:dyDescent="0.35">
      <c r="B64" t="s">
        <v>447</v>
      </c>
      <c r="C64" s="7">
        <v>43221</v>
      </c>
      <c r="F64" t="s">
        <v>448</v>
      </c>
      <c r="I64" t="s">
        <v>411</v>
      </c>
    </row>
    <row r="65" spans="1:11" x14ac:dyDescent="0.35">
      <c r="B65" t="s">
        <v>449</v>
      </c>
      <c r="C65" t="s">
        <v>450</v>
      </c>
      <c r="F65" t="s">
        <v>437</v>
      </c>
      <c r="I65" t="s">
        <v>411</v>
      </c>
    </row>
    <row r="66" spans="1:11" x14ac:dyDescent="0.35">
      <c r="B66" t="s">
        <v>451</v>
      </c>
      <c r="I66" t="s">
        <v>411</v>
      </c>
    </row>
    <row r="67" spans="1:11" x14ac:dyDescent="0.35">
      <c r="B67" t="s">
        <v>452</v>
      </c>
      <c r="F67" t="s">
        <v>448</v>
      </c>
      <c r="I67" t="s">
        <v>411</v>
      </c>
    </row>
    <row r="69" spans="1:11" x14ac:dyDescent="0.35">
      <c r="A69" t="s">
        <v>196</v>
      </c>
      <c r="B69" t="s">
        <v>197</v>
      </c>
      <c r="C69" t="s">
        <v>461</v>
      </c>
      <c r="F69" t="s">
        <v>456</v>
      </c>
    </row>
    <row r="70" spans="1:11" x14ac:dyDescent="0.35">
      <c r="A70" t="s">
        <v>8</v>
      </c>
      <c r="B70" t="s">
        <v>462</v>
      </c>
      <c r="C70">
        <v>2013</v>
      </c>
      <c r="F70" t="s">
        <v>463</v>
      </c>
      <c r="I70" t="s">
        <v>490</v>
      </c>
      <c r="K70" t="s">
        <v>497</v>
      </c>
    </row>
    <row r="71" spans="1:11" x14ac:dyDescent="0.35">
      <c r="F71" t="s">
        <v>464</v>
      </c>
      <c r="I71" t="s">
        <v>490</v>
      </c>
    </row>
    <row r="72" spans="1:11" x14ac:dyDescent="0.35">
      <c r="A72" t="s">
        <v>8</v>
      </c>
      <c r="B72" t="s">
        <v>465</v>
      </c>
      <c r="C72" t="s">
        <v>466</v>
      </c>
      <c r="I72" t="s">
        <v>490</v>
      </c>
    </row>
    <row r="73" spans="1:11" x14ac:dyDescent="0.35">
      <c r="A73" t="s">
        <v>8</v>
      </c>
      <c r="B73" t="s">
        <v>467</v>
      </c>
      <c r="F73" t="s">
        <v>468</v>
      </c>
      <c r="I73" t="s">
        <v>490</v>
      </c>
    </row>
    <row r="74" spans="1:11" x14ac:dyDescent="0.35">
      <c r="F74" t="s">
        <v>439</v>
      </c>
      <c r="I74" t="s">
        <v>490</v>
      </c>
    </row>
    <row r="75" spans="1:11" x14ac:dyDescent="0.35">
      <c r="A75" t="s">
        <v>469</v>
      </c>
      <c r="B75" t="s">
        <v>470</v>
      </c>
      <c r="F75" t="s">
        <v>471</v>
      </c>
      <c r="I75" t="s">
        <v>490</v>
      </c>
    </row>
    <row r="76" spans="1:11" x14ac:dyDescent="0.35">
      <c r="A76" t="s">
        <v>472</v>
      </c>
      <c r="B76" t="s">
        <v>473</v>
      </c>
      <c r="C76" s="7">
        <v>42401</v>
      </c>
      <c r="F76" t="s">
        <v>468</v>
      </c>
      <c r="I76" t="s">
        <v>490</v>
      </c>
    </row>
    <row r="77" spans="1:11" x14ac:dyDescent="0.35">
      <c r="F77" t="s">
        <v>439</v>
      </c>
      <c r="I77" t="s">
        <v>490</v>
      </c>
    </row>
    <row r="78" spans="1:11" x14ac:dyDescent="0.35">
      <c r="A78" t="s">
        <v>472</v>
      </c>
      <c r="B78" t="s">
        <v>474</v>
      </c>
      <c r="F78" t="s">
        <v>439</v>
      </c>
      <c r="I78" t="s">
        <v>490</v>
      </c>
    </row>
    <row r="79" spans="1:11" x14ac:dyDescent="0.35">
      <c r="A79" t="s">
        <v>472</v>
      </c>
      <c r="B79" t="s">
        <v>475</v>
      </c>
      <c r="F79" t="s">
        <v>476</v>
      </c>
      <c r="I79" t="s">
        <v>490</v>
      </c>
    </row>
    <row r="80" spans="1:11" x14ac:dyDescent="0.35">
      <c r="A80" t="s">
        <v>477</v>
      </c>
      <c r="B80" t="s">
        <v>478</v>
      </c>
      <c r="F80" t="s">
        <v>479</v>
      </c>
      <c r="I80" t="s">
        <v>490</v>
      </c>
    </row>
    <row r="81" spans="1:9" x14ac:dyDescent="0.35">
      <c r="A81" t="s">
        <v>477</v>
      </c>
      <c r="B81" t="s">
        <v>480</v>
      </c>
      <c r="F81" t="s">
        <v>468</v>
      </c>
      <c r="I81" t="s">
        <v>490</v>
      </c>
    </row>
    <row r="82" spans="1:9" x14ac:dyDescent="0.35">
      <c r="F82" t="s">
        <v>439</v>
      </c>
      <c r="I82" t="s">
        <v>490</v>
      </c>
    </row>
    <row r="83" spans="1:9" x14ac:dyDescent="0.35">
      <c r="A83" t="s">
        <v>481</v>
      </c>
      <c r="B83" t="s">
        <v>482</v>
      </c>
      <c r="F83" t="s">
        <v>483</v>
      </c>
      <c r="I83" t="s">
        <v>490</v>
      </c>
    </row>
    <row r="84" spans="1:9" x14ac:dyDescent="0.35">
      <c r="A84" t="s">
        <v>481</v>
      </c>
      <c r="B84" t="s">
        <v>484</v>
      </c>
      <c r="C84" t="s">
        <v>466</v>
      </c>
      <c r="F84" t="s">
        <v>435</v>
      </c>
      <c r="I84" t="s">
        <v>490</v>
      </c>
    </row>
    <row r="85" spans="1:9" x14ac:dyDescent="0.35">
      <c r="F85" t="s">
        <v>439</v>
      </c>
      <c r="I85" t="s">
        <v>490</v>
      </c>
    </row>
    <row r="86" spans="1:9" x14ac:dyDescent="0.35">
      <c r="A86" t="s">
        <v>481</v>
      </c>
      <c r="B86" t="s">
        <v>485</v>
      </c>
      <c r="F86" t="s">
        <v>468</v>
      </c>
      <c r="I86" t="s">
        <v>490</v>
      </c>
    </row>
    <row r="87" spans="1:9" x14ac:dyDescent="0.35">
      <c r="F87" t="s">
        <v>439</v>
      </c>
      <c r="I87" t="s">
        <v>490</v>
      </c>
    </row>
    <row r="88" spans="1:9" x14ac:dyDescent="0.35">
      <c r="A88" t="s">
        <v>481</v>
      </c>
      <c r="B88" t="s">
        <v>486</v>
      </c>
      <c r="F88" t="s">
        <v>468</v>
      </c>
      <c r="I88" t="s">
        <v>490</v>
      </c>
    </row>
    <row r="89" spans="1:9" x14ac:dyDescent="0.35">
      <c r="F89" t="s">
        <v>439</v>
      </c>
      <c r="I89" t="s">
        <v>490</v>
      </c>
    </row>
    <row r="90" spans="1:9" x14ac:dyDescent="0.35">
      <c r="A90" t="s">
        <v>481</v>
      </c>
      <c r="B90" t="s">
        <v>487</v>
      </c>
      <c r="C90" t="s">
        <v>488</v>
      </c>
      <c r="F90" t="s">
        <v>468</v>
      </c>
      <c r="I90" t="s">
        <v>490</v>
      </c>
    </row>
    <row r="91" spans="1:9" x14ac:dyDescent="0.35">
      <c r="F91" t="s">
        <v>439</v>
      </c>
      <c r="I91" t="s">
        <v>490</v>
      </c>
    </row>
    <row r="92" spans="1:9" x14ac:dyDescent="0.35">
      <c r="A92" t="s">
        <v>489</v>
      </c>
      <c r="B92" t="s">
        <v>443</v>
      </c>
      <c r="C92" t="s">
        <v>488</v>
      </c>
      <c r="F92" t="s">
        <v>468</v>
      </c>
      <c r="I92" t="s">
        <v>490</v>
      </c>
    </row>
    <row r="93" spans="1:9" x14ac:dyDescent="0.35">
      <c r="F93" t="s">
        <v>439</v>
      </c>
      <c r="I93" t="s">
        <v>490</v>
      </c>
    </row>
  </sheetData>
  <hyperlinks>
    <hyperlink ref="K8" r:id="rId1" display="https://wiki.openstreetmap.org/wiki/Tag:boundary=low emission zone?uselang=es" xr:uid="{2BF32F5F-3230-4FB7-8411-C66F0AD442CE}"/>
    <hyperlink ref="J4" r:id="rId2" xr:uid="{BE4B789E-B365-4393-B20A-AC22065F6D19}"/>
    <hyperlink ref="J2" r:id="rId3" xr:uid="{084324C1-256F-4E25-BB93-273FFA8B39C9}"/>
    <hyperlink ref="K9" r:id="rId4" xr:uid="{FB6F4B5A-E520-4688-97DA-D4B4393DD042}"/>
    <hyperlink ref="J35" r:id="rId5" xr:uid="{750A3D18-0275-454A-A1DF-E43EF16763D4}"/>
    <hyperlink ref="K11" r:id="rId6" xr:uid="{1D992348-EC01-423A-8873-C215E3775480}"/>
    <hyperlink ref="K13" r:id="rId7" location="Spain" xr:uid="{CC9448A8-2C09-41C5-95EF-E0C2787B3A08}"/>
    <hyperlink ref="K16" r:id="rId8" xr:uid="{80340CF1-468E-4C1F-975F-427808C18938}"/>
    <hyperlink ref="K17" r:id="rId9" xr:uid="{7E8F0F0F-736B-4E7D-AE7D-48B6CBA0C141}"/>
    <hyperlink ref="K18" r:id="rId10" xr:uid="{BA549654-F149-440A-BAD9-D335C95C6DF9}"/>
    <hyperlink ref="L19" r:id="rId11" xr:uid="{609D111C-48AF-4518-9027-84A9671BED76}"/>
  </hyperlinks>
  <pageMargins left="0.7" right="0.7" top="0.75" bottom="0.75" header="0.3" footer="0.3"/>
  <pageSetup paperSize="9"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2622-912D-49E4-B7FC-B04FA41C89E3}">
  <dimension ref="A1:O30"/>
  <sheetViews>
    <sheetView tabSelected="1" topLeftCell="A15" workbookViewId="0">
      <selection activeCell="O16" sqref="O16"/>
    </sheetView>
  </sheetViews>
  <sheetFormatPr defaultRowHeight="14.5" x14ac:dyDescent="0.35"/>
  <cols>
    <col min="1" max="1" width="14.81640625" customWidth="1"/>
    <col min="2" max="2" width="14.6328125" customWidth="1"/>
    <col min="3" max="3" width="9.54296875" bestFit="1" customWidth="1"/>
    <col min="4" max="4" width="16.08984375" bestFit="1" customWidth="1"/>
    <col min="5" max="5" width="5.08984375" bestFit="1" customWidth="1"/>
    <col min="6" max="6" width="11.08984375" customWidth="1"/>
    <col min="7" max="7" width="5.08984375" bestFit="1" customWidth="1"/>
    <col min="8" max="8" width="9.81640625" customWidth="1"/>
    <col min="9" max="9" width="5.08984375" bestFit="1" customWidth="1"/>
    <col min="10" max="10" width="4.6328125" customWidth="1"/>
    <col min="11" max="11" width="12.36328125" bestFit="1" customWidth="1"/>
    <col min="12" max="12" width="12.1796875" bestFit="1" customWidth="1"/>
    <col min="13" max="13" width="13" bestFit="1" customWidth="1"/>
    <col min="14" max="14" width="12.7265625" bestFit="1" customWidth="1"/>
  </cols>
  <sheetData>
    <row r="1" spans="1:15" x14ac:dyDescent="0.35">
      <c r="A1" s="8" t="s">
        <v>411</v>
      </c>
      <c r="B1" s="8"/>
      <c r="C1" s="8"/>
      <c r="D1" s="8"/>
      <c r="E1" s="19" t="s">
        <v>410</v>
      </c>
      <c r="F1" s="19"/>
      <c r="G1" s="19"/>
      <c r="H1" s="19"/>
      <c r="I1" s="19"/>
      <c r="J1" s="19"/>
      <c r="K1" s="8"/>
      <c r="L1" s="8"/>
      <c r="M1" s="8"/>
      <c r="N1" s="8"/>
    </row>
    <row r="2" spans="1:15" x14ac:dyDescent="0.35">
      <c r="A2" s="8"/>
      <c r="B2" s="8"/>
      <c r="C2" s="8" t="s">
        <v>409</v>
      </c>
      <c r="D2" s="8" t="s">
        <v>408</v>
      </c>
      <c r="E2" s="19" t="s">
        <v>407</v>
      </c>
      <c r="F2" s="19"/>
      <c r="G2" s="19" t="s">
        <v>406</v>
      </c>
      <c r="H2" s="19"/>
      <c r="I2" s="19" t="s">
        <v>405</v>
      </c>
      <c r="J2" s="19"/>
      <c r="K2" s="8" t="s">
        <v>404</v>
      </c>
      <c r="L2" s="8" t="s">
        <v>403</v>
      </c>
      <c r="M2" s="8" t="s">
        <v>402</v>
      </c>
      <c r="N2" s="8" t="s">
        <v>401</v>
      </c>
      <c r="O2" s="18" t="s">
        <v>575</v>
      </c>
    </row>
    <row r="3" spans="1:15" x14ac:dyDescent="0.35">
      <c r="A3" s="8" t="s">
        <v>400</v>
      </c>
      <c r="B3" s="8" t="s">
        <v>197</v>
      </c>
      <c r="C3" s="8"/>
      <c r="D3" s="8"/>
      <c r="E3" s="8" t="s">
        <v>399</v>
      </c>
      <c r="F3" s="8" t="s">
        <v>398</v>
      </c>
      <c r="G3" s="8" t="s">
        <v>399</v>
      </c>
      <c r="H3" s="8" t="s">
        <v>398</v>
      </c>
      <c r="I3" s="8" t="s">
        <v>399</v>
      </c>
      <c r="J3" s="8" t="s">
        <v>398</v>
      </c>
      <c r="K3" s="8"/>
      <c r="L3" s="8"/>
      <c r="M3" s="8">
        <v>2007</v>
      </c>
      <c r="N3" s="8">
        <v>2011</v>
      </c>
    </row>
    <row r="4" spans="1:15" x14ac:dyDescent="0.35">
      <c r="A4" s="8" t="s">
        <v>397</v>
      </c>
      <c r="B4" s="8" t="s">
        <v>228</v>
      </c>
      <c r="C4" s="8" t="s">
        <v>280</v>
      </c>
      <c r="D4" s="8" t="s">
        <v>396</v>
      </c>
      <c r="E4" s="8" t="s">
        <v>277</v>
      </c>
      <c r="F4" s="8" t="s">
        <v>375</v>
      </c>
      <c r="G4" s="8" t="s">
        <v>277</v>
      </c>
      <c r="H4" s="8" t="s">
        <v>375</v>
      </c>
      <c r="I4" s="8" t="s">
        <v>277</v>
      </c>
      <c r="J4" s="8" t="s">
        <v>375</v>
      </c>
      <c r="K4" s="8" t="s">
        <v>395</v>
      </c>
      <c r="L4" s="8" t="s">
        <v>394</v>
      </c>
      <c r="M4" s="8" t="s">
        <v>393</v>
      </c>
      <c r="N4" s="8" t="s">
        <v>392</v>
      </c>
      <c r="O4">
        <f>M4/N4</f>
        <v>0.50108568565224654</v>
      </c>
    </row>
    <row r="5" spans="1:15" x14ac:dyDescent="0.35">
      <c r="A5" s="8"/>
      <c r="B5" s="8" t="s">
        <v>209</v>
      </c>
      <c r="C5" s="8" t="s">
        <v>337</v>
      </c>
      <c r="D5" s="8" t="s">
        <v>376</v>
      </c>
      <c r="E5" s="8" t="s">
        <v>313</v>
      </c>
      <c r="F5" s="8" t="s">
        <v>375</v>
      </c>
      <c r="G5" s="8" t="s">
        <v>313</v>
      </c>
      <c r="H5" s="8" t="s">
        <v>375</v>
      </c>
      <c r="I5" s="8" t="s">
        <v>313</v>
      </c>
      <c r="J5" s="8" t="s">
        <v>375</v>
      </c>
      <c r="K5" s="8" t="s">
        <v>391</v>
      </c>
      <c r="L5" s="8" t="s">
        <v>390</v>
      </c>
      <c r="M5" s="8" t="s">
        <v>389</v>
      </c>
      <c r="N5" s="8" t="s">
        <v>388</v>
      </c>
      <c r="O5">
        <f t="shared" ref="O5:O28" si="0">M5/N5</f>
        <v>0.6326274744360989</v>
      </c>
    </row>
    <row r="6" spans="1:15" x14ac:dyDescent="0.35">
      <c r="A6" s="8"/>
      <c r="B6" s="8" t="s">
        <v>210</v>
      </c>
      <c r="C6" s="8" t="s">
        <v>337</v>
      </c>
      <c r="D6" s="8" t="s">
        <v>376</v>
      </c>
      <c r="E6" s="8" t="s">
        <v>313</v>
      </c>
      <c r="F6" s="8" t="s">
        <v>313</v>
      </c>
      <c r="G6" s="8" t="s">
        <v>313</v>
      </c>
      <c r="H6" s="8" t="s">
        <v>313</v>
      </c>
      <c r="I6" s="8" t="s">
        <v>313</v>
      </c>
      <c r="J6" s="8" t="s">
        <v>313</v>
      </c>
      <c r="K6" s="8" t="s">
        <v>387</v>
      </c>
      <c r="L6" s="8" t="s">
        <v>386</v>
      </c>
      <c r="M6" s="8" t="s">
        <v>385</v>
      </c>
      <c r="N6" s="8" t="s">
        <v>384</v>
      </c>
      <c r="O6">
        <f t="shared" si="0"/>
        <v>0.32217334916180035</v>
      </c>
    </row>
    <row r="7" spans="1:15" x14ac:dyDescent="0.35">
      <c r="A7" s="8"/>
      <c r="B7" s="8" t="s">
        <v>211</v>
      </c>
      <c r="C7" s="8" t="s">
        <v>287</v>
      </c>
      <c r="D7" s="8" t="s">
        <v>376</v>
      </c>
      <c r="E7" s="8" t="s">
        <v>277</v>
      </c>
      <c r="F7" s="8" t="s">
        <v>307</v>
      </c>
      <c r="G7" s="8" t="s">
        <v>277</v>
      </c>
      <c r="H7" s="8" t="s">
        <v>307</v>
      </c>
      <c r="I7" s="8" t="s">
        <v>277</v>
      </c>
      <c r="J7" s="8" t="s">
        <v>307</v>
      </c>
      <c r="K7" s="8" t="s">
        <v>383</v>
      </c>
      <c r="L7" s="8" t="s">
        <v>382</v>
      </c>
      <c r="M7" s="8" t="s">
        <v>381</v>
      </c>
      <c r="N7" s="8" t="s">
        <v>380</v>
      </c>
      <c r="O7">
        <f t="shared" si="0"/>
        <v>0.22255731986483049</v>
      </c>
    </row>
    <row r="8" spans="1:15" x14ac:dyDescent="0.35">
      <c r="A8" s="8"/>
      <c r="B8" s="8" t="s">
        <v>213</v>
      </c>
      <c r="C8" s="8" t="s">
        <v>287</v>
      </c>
      <c r="D8" s="8" t="s">
        <v>376</v>
      </c>
      <c r="E8" s="8" t="s">
        <v>346</v>
      </c>
      <c r="F8" s="8" t="s">
        <v>307</v>
      </c>
      <c r="G8" s="8" t="s">
        <v>346</v>
      </c>
      <c r="H8" s="8" t="s">
        <v>307</v>
      </c>
      <c r="I8" s="8" t="s">
        <v>346</v>
      </c>
      <c r="J8" s="8" t="s">
        <v>307</v>
      </c>
      <c r="K8" s="8" t="s">
        <v>379</v>
      </c>
      <c r="L8" s="8" t="s">
        <v>379</v>
      </c>
      <c r="M8" s="8" t="s">
        <v>378</v>
      </c>
      <c r="N8" s="8" t="s">
        <v>377</v>
      </c>
      <c r="O8">
        <f t="shared" si="0"/>
        <v>0.99828261550045261</v>
      </c>
    </row>
    <row r="9" spans="1:15" x14ac:dyDescent="0.35">
      <c r="A9" s="8"/>
      <c r="B9" s="8" t="s">
        <v>214</v>
      </c>
      <c r="C9" s="8" t="s">
        <v>337</v>
      </c>
      <c r="D9" s="8" t="s">
        <v>376</v>
      </c>
      <c r="E9" s="8" t="s">
        <v>277</v>
      </c>
      <c r="F9" s="8" t="s">
        <v>375</v>
      </c>
      <c r="G9" s="8" t="s">
        <v>277</v>
      </c>
      <c r="H9" s="8" t="s">
        <v>375</v>
      </c>
      <c r="I9" s="8" t="s">
        <v>277</v>
      </c>
      <c r="J9" s="8" t="s">
        <v>375</v>
      </c>
      <c r="K9" s="8" t="s">
        <v>374</v>
      </c>
      <c r="L9" s="8" t="s">
        <v>373</v>
      </c>
      <c r="M9" s="8" t="s">
        <v>372</v>
      </c>
      <c r="N9" s="8" t="s">
        <v>371</v>
      </c>
      <c r="O9">
        <f t="shared" si="0"/>
        <v>0.76878723813184702</v>
      </c>
    </row>
    <row r="10" spans="1:15" x14ac:dyDescent="0.35">
      <c r="A10" s="8" t="s">
        <v>370</v>
      </c>
      <c r="B10" s="8"/>
      <c r="C10" s="8"/>
      <c r="D10" s="8"/>
      <c r="E10" s="8" t="s">
        <v>369</v>
      </c>
      <c r="F10" s="8" t="s">
        <v>267</v>
      </c>
      <c r="G10" s="8" t="s">
        <v>369</v>
      </c>
      <c r="H10" s="8" t="s">
        <v>267</v>
      </c>
      <c r="I10" s="8" t="s">
        <v>369</v>
      </c>
      <c r="J10" s="8" t="s">
        <v>267</v>
      </c>
      <c r="K10" s="8" t="s">
        <v>368</v>
      </c>
      <c r="L10" s="8" t="s">
        <v>367</v>
      </c>
      <c r="M10" s="8" t="s">
        <v>366</v>
      </c>
      <c r="N10" s="8" t="s">
        <v>365</v>
      </c>
      <c r="O10">
        <f t="shared" si="0"/>
        <v>0.70630907394194076</v>
      </c>
    </row>
    <row r="11" spans="1:15" x14ac:dyDescent="0.35">
      <c r="A11" s="8" t="s">
        <v>364</v>
      </c>
      <c r="B11" s="8" t="s">
        <v>235</v>
      </c>
      <c r="C11" s="8" t="s">
        <v>363</v>
      </c>
      <c r="D11" s="8" t="s">
        <v>362</v>
      </c>
      <c r="E11" s="8" t="s">
        <v>316</v>
      </c>
      <c r="F11" s="8" t="s">
        <v>277</v>
      </c>
      <c r="G11" s="8" t="s">
        <v>316</v>
      </c>
      <c r="H11" s="8" t="s">
        <v>277</v>
      </c>
      <c r="I11" s="8" t="s">
        <v>316</v>
      </c>
      <c r="J11" s="8" t="s">
        <v>277</v>
      </c>
      <c r="K11" s="8" t="s">
        <v>361</v>
      </c>
      <c r="L11" s="8" t="s">
        <v>360</v>
      </c>
      <c r="M11" s="8" t="s">
        <v>359</v>
      </c>
      <c r="N11" s="8" t="s">
        <v>358</v>
      </c>
      <c r="O11">
        <f t="shared" si="0"/>
        <v>0.1466818726874686</v>
      </c>
    </row>
    <row r="12" spans="1:15" x14ac:dyDescent="0.35">
      <c r="A12" s="8"/>
      <c r="B12" s="8" t="s">
        <v>357</v>
      </c>
      <c r="C12" s="8" t="s">
        <v>280</v>
      </c>
      <c r="D12" s="8" t="s">
        <v>317</v>
      </c>
      <c r="E12" s="8" t="s">
        <v>346</v>
      </c>
      <c r="F12" s="8" t="s">
        <v>316</v>
      </c>
      <c r="G12" s="8" t="s">
        <v>346</v>
      </c>
      <c r="H12" s="8" t="s">
        <v>316</v>
      </c>
      <c r="I12" s="8" t="s">
        <v>346</v>
      </c>
      <c r="J12" s="8" t="s">
        <v>316</v>
      </c>
      <c r="K12" s="8" t="s">
        <v>356</v>
      </c>
      <c r="L12" s="8" t="s">
        <v>355</v>
      </c>
      <c r="M12" s="8" t="s">
        <v>354</v>
      </c>
      <c r="N12" s="8" t="s">
        <v>353</v>
      </c>
      <c r="O12">
        <f t="shared" si="0"/>
        <v>0.3104498425421448</v>
      </c>
    </row>
    <row r="13" spans="1:15" x14ac:dyDescent="0.35">
      <c r="A13" s="8" t="s">
        <v>352</v>
      </c>
      <c r="B13" s="8"/>
      <c r="C13" s="8"/>
      <c r="D13" s="8"/>
      <c r="E13" s="8" t="s">
        <v>268</v>
      </c>
      <c r="F13" s="8" t="s">
        <v>312</v>
      </c>
      <c r="G13" s="8" t="s">
        <v>268</v>
      </c>
      <c r="H13" s="8" t="s">
        <v>312</v>
      </c>
      <c r="I13" s="8" t="s">
        <v>268</v>
      </c>
      <c r="J13" s="8" t="s">
        <v>312</v>
      </c>
      <c r="K13" s="8" t="s">
        <v>351</v>
      </c>
      <c r="L13" s="8" t="s">
        <v>350</v>
      </c>
      <c r="M13" s="8" t="s">
        <v>349</v>
      </c>
      <c r="N13" s="8" t="s">
        <v>348</v>
      </c>
      <c r="O13">
        <f t="shared" si="0"/>
        <v>0.28356292297383456</v>
      </c>
    </row>
    <row r="14" spans="1:15" x14ac:dyDescent="0.35">
      <c r="A14" s="8" t="s">
        <v>347</v>
      </c>
      <c r="B14" s="8" t="s">
        <v>202</v>
      </c>
      <c r="C14" s="8" t="s">
        <v>287</v>
      </c>
      <c r="D14" s="8" t="s">
        <v>286</v>
      </c>
      <c r="E14" s="8" t="s">
        <v>346</v>
      </c>
      <c r="F14" s="8" t="s">
        <v>267</v>
      </c>
      <c r="G14" s="8" t="s">
        <v>346</v>
      </c>
      <c r="H14" s="8" t="s">
        <v>267</v>
      </c>
      <c r="I14" s="8" t="s">
        <v>346</v>
      </c>
      <c r="J14" s="8" t="s">
        <v>267</v>
      </c>
      <c r="K14" s="8" t="s">
        <v>285</v>
      </c>
      <c r="L14" s="8" t="s">
        <v>284</v>
      </c>
      <c r="M14" s="8" t="s">
        <v>283</v>
      </c>
      <c r="N14" s="8" t="s">
        <v>282</v>
      </c>
      <c r="O14">
        <f t="shared" si="0"/>
        <v>0.32590448865289451</v>
      </c>
    </row>
    <row r="15" spans="1:15" x14ac:dyDescent="0.35">
      <c r="A15" s="8" t="s">
        <v>345</v>
      </c>
      <c r="B15" s="8" t="s">
        <v>344</v>
      </c>
      <c r="C15" s="8" t="s">
        <v>343</v>
      </c>
      <c r="D15" s="8" t="s">
        <v>317</v>
      </c>
      <c r="E15" s="8" t="s">
        <v>277</v>
      </c>
      <c r="F15" s="8" t="s">
        <v>316</v>
      </c>
      <c r="G15" s="8" t="s">
        <v>277</v>
      </c>
      <c r="H15" s="8" t="s">
        <v>316</v>
      </c>
      <c r="I15" s="8" t="s">
        <v>277</v>
      </c>
      <c r="J15" s="8" t="s">
        <v>316</v>
      </c>
      <c r="K15" s="8" t="s">
        <v>342</v>
      </c>
      <c r="L15" s="8" t="s">
        <v>341</v>
      </c>
      <c r="M15" s="8" t="s">
        <v>340</v>
      </c>
      <c r="N15" s="8" t="s">
        <v>339</v>
      </c>
      <c r="O15">
        <f t="shared" si="0"/>
        <v>0.79968012794882048</v>
      </c>
    </row>
    <row r="16" spans="1:15" x14ac:dyDescent="0.35">
      <c r="A16" s="8" t="s">
        <v>338</v>
      </c>
      <c r="B16" s="8" t="s">
        <v>203</v>
      </c>
      <c r="C16" s="8" t="s">
        <v>337</v>
      </c>
      <c r="D16" s="8" t="s">
        <v>286</v>
      </c>
      <c r="E16" s="8" t="s">
        <v>277</v>
      </c>
      <c r="F16" s="8" t="s">
        <v>312</v>
      </c>
      <c r="G16" s="8" t="s">
        <v>277</v>
      </c>
      <c r="H16" s="8" t="s">
        <v>312</v>
      </c>
      <c r="I16" s="8" t="s">
        <v>277</v>
      </c>
      <c r="J16" s="8" t="s">
        <v>312</v>
      </c>
      <c r="K16" s="8" t="s">
        <v>336</v>
      </c>
      <c r="L16" s="8" t="s">
        <v>335</v>
      </c>
      <c r="M16" s="8" t="s">
        <v>334</v>
      </c>
      <c r="N16" s="8" t="s">
        <v>333</v>
      </c>
      <c r="O16">
        <f t="shared" si="0"/>
        <v>0.42401149888064854</v>
      </c>
    </row>
    <row r="17" spans="1:15" x14ac:dyDescent="0.35">
      <c r="A17" s="8" t="s">
        <v>332</v>
      </c>
      <c r="B17" s="8" t="s">
        <v>205</v>
      </c>
      <c r="C17" s="8" t="s">
        <v>280</v>
      </c>
      <c r="D17" s="8" t="s">
        <v>286</v>
      </c>
      <c r="E17" s="8" t="s">
        <v>313</v>
      </c>
      <c r="F17" s="8" t="s">
        <v>331</v>
      </c>
      <c r="G17" s="8" t="s">
        <v>313</v>
      </c>
      <c r="H17" s="8" t="s">
        <v>331</v>
      </c>
      <c r="I17" s="8" t="s">
        <v>313</v>
      </c>
      <c r="J17" s="8" t="s">
        <v>331</v>
      </c>
      <c r="K17" s="8" t="s">
        <v>330</v>
      </c>
      <c r="L17" s="8" t="s">
        <v>329</v>
      </c>
      <c r="M17" s="8" t="s">
        <v>328</v>
      </c>
      <c r="N17" s="8" t="s">
        <v>327</v>
      </c>
    </row>
    <row r="18" spans="1:15" x14ac:dyDescent="0.35">
      <c r="A18" s="8"/>
      <c r="B18" s="8" t="s">
        <v>218</v>
      </c>
      <c r="C18" s="8" t="s">
        <v>280</v>
      </c>
      <c r="D18" s="8" t="s">
        <v>317</v>
      </c>
      <c r="E18" s="8" t="s">
        <v>313</v>
      </c>
      <c r="F18" s="8" t="s">
        <v>277</v>
      </c>
      <c r="G18" s="8" t="s">
        <v>313</v>
      </c>
      <c r="H18" s="8" t="s">
        <v>277</v>
      </c>
      <c r="I18" s="8" t="s">
        <v>313</v>
      </c>
      <c r="J18" s="8" t="s">
        <v>277</v>
      </c>
      <c r="K18" s="8" t="s">
        <v>326</v>
      </c>
      <c r="L18" s="8" t="s">
        <v>325</v>
      </c>
      <c r="M18" s="8" t="s">
        <v>324</v>
      </c>
      <c r="N18" s="8" t="s">
        <v>323</v>
      </c>
    </row>
    <row r="19" spans="1:15" x14ac:dyDescent="0.35">
      <c r="A19" s="8"/>
      <c r="B19" s="8" t="s">
        <v>233</v>
      </c>
      <c r="C19" s="8" t="s">
        <v>280</v>
      </c>
      <c r="D19" s="8" t="s">
        <v>322</v>
      </c>
      <c r="E19" s="8" t="s">
        <v>277</v>
      </c>
      <c r="F19" s="8" t="s">
        <v>316</v>
      </c>
      <c r="G19" s="8" t="s">
        <v>277</v>
      </c>
      <c r="H19" s="8" t="s">
        <v>316</v>
      </c>
      <c r="I19" s="8" t="s">
        <v>277</v>
      </c>
      <c r="J19" s="8" t="s">
        <v>316</v>
      </c>
      <c r="K19" s="8" t="s">
        <v>321</v>
      </c>
      <c r="L19" s="8" t="s">
        <v>320</v>
      </c>
      <c r="M19" s="8" t="s">
        <v>319</v>
      </c>
      <c r="N19" s="8" t="s">
        <v>318</v>
      </c>
      <c r="O19">
        <f t="shared" si="0"/>
        <v>6.1480725371495175E-2</v>
      </c>
    </row>
    <row r="20" spans="1:15" x14ac:dyDescent="0.35">
      <c r="A20" s="8"/>
      <c r="B20" s="8" t="s">
        <v>219</v>
      </c>
      <c r="C20" s="8" t="s">
        <v>280</v>
      </c>
      <c r="D20" s="8" t="s">
        <v>317</v>
      </c>
      <c r="E20" s="8" t="s">
        <v>316</v>
      </c>
      <c r="F20" s="8" t="s">
        <v>307</v>
      </c>
      <c r="G20" s="8" t="s">
        <v>316</v>
      </c>
      <c r="H20" s="8" t="s">
        <v>307</v>
      </c>
      <c r="I20" s="8" t="s">
        <v>316</v>
      </c>
      <c r="J20" s="8" t="s">
        <v>307</v>
      </c>
      <c r="K20" s="8" t="s">
        <v>275</v>
      </c>
      <c r="L20" s="8" t="s">
        <v>274</v>
      </c>
      <c r="M20" s="8" t="s">
        <v>315</v>
      </c>
      <c r="N20" s="8" t="s">
        <v>272</v>
      </c>
    </row>
    <row r="21" spans="1:15" x14ac:dyDescent="0.35">
      <c r="A21" s="8"/>
      <c r="B21" s="8" t="s">
        <v>314</v>
      </c>
      <c r="C21" s="8" t="s">
        <v>280</v>
      </c>
      <c r="D21" s="8" t="s">
        <v>286</v>
      </c>
      <c r="E21" s="8" t="s">
        <v>313</v>
      </c>
      <c r="F21" s="8" t="s">
        <v>312</v>
      </c>
      <c r="G21" s="8" t="s">
        <v>313</v>
      </c>
      <c r="H21" s="8" t="s">
        <v>312</v>
      </c>
      <c r="I21" s="8" t="s">
        <v>313</v>
      </c>
      <c r="J21" s="8" t="s">
        <v>312</v>
      </c>
      <c r="K21" s="8" t="s">
        <v>300</v>
      </c>
      <c r="L21" s="8" t="s">
        <v>311</v>
      </c>
      <c r="M21" s="8" t="s">
        <v>310</v>
      </c>
      <c r="N21" s="8" t="s">
        <v>309</v>
      </c>
      <c r="O21">
        <f t="shared" si="0"/>
        <v>0.12703090661958055</v>
      </c>
    </row>
    <row r="22" spans="1:15" x14ac:dyDescent="0.35">
      <c r="A22" s="8"/>
      <c r="B22" s="8" t="s">
        <v>234</v>
      </c>
      <c r="C22" s="8" t="s">
        <v>280</v>
      </c>
      <c r="D22" s="8" t="s">
        <v>308</v>
      </c>
      <c r="E22" s="8" t="s">
        <v>277</v>
      </c>
      <c r="F22" s="8" t="s">
        <v>307</v>
      </c>
      <c r="G22" s="8" t="s">
        <v>277</v>
      </c>
      <c r="H22" s="8" t="s">
        <v>307</v>
      </c>
      <c r="I22" s="8" t="s">
        <v>277</v>
      </c>
      <c r="J22" s="8" t="s">
        <v>307</v>
      </c>
      <c r="K22" s="8" t="s">
        <v>306</v>
      </c>
      <c r="L22" s="8" t="s">
        <v>305</v>
      </c>
      <c r="M22" s="8" t="s">
        <v>304</v>
      </c>
      <c r="N22" s="8" t="s">
        <v>303</v>
      </c>
      <c r="O22">
        <f t="shared" si="0"/>
        <v>0.5657873631100806</v>
      </c>
    </row>
    <row r="23" spans="1:15" x14ac:dyDescent="0.35">
      <c r="A23" s="8" t="s">
        <v>302</v>
      </c>
      <c r="B23" s="8"/>
      <c r="C23" s="8"/>
      <c r="D23" s="8"/>
      <c r="E23" s="8" t="s">
        <v>301</v>
      </c>
      <c r="F23" s="8" t="s">
        <v>300</v>
      </c>
      <c r="G23" s="8" t="s">
        <v>301</v>
      </c>
      <c r="H23" s="8" t="s">
        <v>300</v>
      </c>
      <c r="I23" s="8" t="s">
        <v>301</v>
      </c>
      <c r="J23" s="8" t="s">
        <v>300</v>
      </c>
      <c r="K23" s="8" t="s">
        <v>299</v>
      </c>
      <c r="L23" s="8" t="s">
        <v>298</v>
      </c>
      <c r="M23" s="8" t="s">
        <v>297</v>
      </c>
      <c r="N23" s="8" t="s">
        <v>296</v>
      </c>
      <c r="O23">
        <f t="shared" si="0"/>
        <v>0.33075782865573156</v>
      </c>
    </row>
    <row r="24" spans="1:15" x14ac:dyDescent="0.35">
      <c r="A24" s="8" t="s">
        <v>295</v>
      </c>
      <c r="B24" s="8"/>
      <c r="C24" s="8"/>
      <c r="D24" s="8"/>
      <c r="E24" s="8" t="s">
        <v>294</v>
      </c>
      <c r="F24" s="8" t="s">
        <v>293</v>
      </c>
      <c r="G24" s="8" t="s">
        <v>294</v>
      </c>
      <c r="H24" s="8" t="s">
        <v>293</v>
      </c>
      <c r="I24" s="8" t="s">
        <v>294</v>
      </c>
      <c r="J24" s="8" t="s">
        <v>293</v>
      </c>
      <c r="K24" s="8" t="s">
        <v>292</v>
      </c>
      <c r="L24" s="8" t="s">
        <v>291</v>
      </c>
      <c r="M24" s="8" t="s">
        <v>290</v>
      </c>
      <c r="N24" s="8" t="s">
        <v>289</v>
      </c>
      <c r="O24">
        <f t="shared" si="0"/>
        <v>0.39644080143239363</v>
      </c>
    </row>
    <row r="25" spans="1:15" x14ac:dyDescent="0.35">
      <c r="A25" s="8" t="s">
        <v>288</v>
      </c>
      <c r="B25" s="8" t="s">
        <v>202</v>
      </c>
      <c r="C25" s="8" t="s">
        <v>287</v>
      </c>
      <c r="D25" s="8" t="s">
        <v>286</v>
      </c>
      <c r="E25" s="8" t="s">
        <v>268</v>
      </c>
      <c r="F25" s="8" t="s">
        <v>267</v>
      </c>
      <c r="G25" s="8" t="s">
        <v>268</v>
      </c>
      <c r="H25" s="8" t="s">
        <v>267</v>
      </c>
      <c r="I25" s="8" t="s">
        <v>268</v>
      </c>
      <c r="J25" s="8" t="s">
        <v>267</v>
      </c>
      <c r="K25" s="8" t="s">
        <v>285</v>
      </c>
      <c r="L25" s="8" t="s">
        <v>284</v>
      </c>
      <c r="M25" s="8" t="s">
        <v>283</v>
      </c>
      <c r="N25" s="8" t="s">
        <v>282</v>
      </c>
      <c r="O25">
        <f t="shared" si="0"/>
        <v>0.32590448865289451</v>
      </c>
    </row>
    <row r="26" spans="1:15" x14ac:dyDescent="0.35">
      <c r="A26" s="8" t="s">
        <v>281</v>
      </c>
      <c r="B26" s="8" t="s">
        <v>219</v>
      </c>
      <c r="C26" s="8" t="s">
        <v>280</v>
      </c>
      <c r="D26" s="8" t="s">
        <v>279</v>
      </c>
      <c r="E26" s="8" t="s">
        <v>278</v>
      </c>
      <c r="F26" s="8" t="s">
        <v>277</v>
      </c>
      <c r="G26" s="8" t="s">
        <v>276</v>
      </c>
      <c r="H26" s="8" t="s">
        <v>276</v>
      </c>
      <c r="I26" s="8" t="s">
        <v>276</v>
      </c>
      <c r="J26" s="8" t="s">
        <v>276</v>
      </c>
      <c r="K26" s="8" t="s">
        <v>275</v>
      </c>
      <c r="L26" s="8" t="s">
        <v>274</v>
      </c>
      <c r="M26" s="8" t="s">
        <v>273</v>
      </c>
      <c r="N26" s="8" t="s">
        <v>272</v>
      </c>
    </row>
    <row r="27" spans="1:15" x14ac:dyDescent="0.35">
      <c r="A27" s="8" t="s">
        <v>271</v>
      </c>
      <c r="B27" s="8"/>
      <c r="C27" s="8"/>
      <c r="D27" s="8"/>
      <c r="E27" s="8" t="s">
        <v>270</v>
      </c>
      <c r="F27" s="8" t="s">
        <v>269</v>
      </c>
      <c r="G27" s="8" t="s">
        <v>268</v>
      </c>
      <c r="H27" s="8" t="s">
        <v>267</v>
      </c>
      <c r="I27" s="8" t="s">
        <v>268</v>
      </c>
      <c r="J27" s="8" t="s">
        <v>267</v>
      </c>
      <c r="K27" s="8" t="s">
        <v>266</v>
      </c>
      <c r="L27" s="8" t="s">
        <v>265</v>
      </c>
      <c r="M27" s="8" t="s">
        <v>264</v>
      </c>
      <c r="N27" s="8" t="s">
        <v>263</v>
      </c>
      <c r="O27">
        <f t="shared" si="0"/>
        <v>0.35285904612890034</v>
      </c>
    </row>
    <row r="28" spans="1:15" x14ac:dyDescent="0.35">
      <c r="A28" s="8" t="s">
        <v>262</v>
      </c>
      <c r="B28" s="8"/>
      <c r="C28" s="8"/>
      <c r="D28" s="8"/>
      <c r="E28" s="8" t="s">
        <v>261</v>
      </c>
      <c r="F28" s="8" t="s">
        <v>260</v>
      </c>
      <c r="G28" s="8" t="s">
        <v>259</v>
      </c>
      <c r="H28" s="8" t="s">
        <v>258</v>
      </c>
      <c r="I28" s="8" t="s">
        <v>259</v>
      </c>
      <c r="J28" s="8" t="s">
        <v>258</v>
      </c>
      <c r="K28" s="8" t="s">
        <v>257</v>
      </c>
      <c r="L28" s="8" t="s">
        <v>256</v>
      </c>
      <c r="M28" s="8" t="s">
        <v>255</v>
      </c>
      <c r="N28" s="8" t="s">
        <v>254</v>
      </c>
      <c r="O28">
        <f t="shared" si="0"/>
        <v>0.3849555797601234</v>
      </c>
    </row>
    <row r="30" spans="1:15" x14ac:dyDescent="0.35">
      <c r="A30" s="8" t="s">
        <v>412</v>
      </c>
      <c r="B30" s="1" t="s">
        <v>413</v>
      </c>
      <c r="O30">
        <f>AVERAGE(O4:O28)</f>
        <v>0.42796810714791567</v>
      </c>
    </row>
  </sheetData>
  <mergeCells count="4">
    <mergeCell ref="I2:J2"/>
    <mergeCell ref="G2:H2"/>
    <mergeCell ref="E2:F2"/>
    <mergeCell ref="E1:J1"/>
  </mergeCells>
  <hyperlinks>
    <hyperlink ref="B30" r:id="rId1" xr:uid="{425DCB80-E687-416D-AF14-536AE49830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That I have</vt:lpstr>
      <vt:lpstr>To search</vt:lpstr>
      <vt:lpstr>LEZ application</vt:lpstr>
      <vt:lpstr>Extra data LEZ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Avila</dc:creator>
  <cp:lastModifiedBy>Antonio Avila</cp:lastModifiedBy>
  <dcterms:created xsi:type="dcterms:W3CDTF">2019-12-09T09:38:42Z</dcterms:created>
  <dcterms:modified xsi:type="dcterms:W3CDTF">2020-06-02T15:46:05Z</dcterms:modified>
</cp:coreProperties>
</file>